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Plan" sheetId="3" state="visible" r:id="rId3"/>
    <sheet xmlns:r="http://schemas.openxmlformats.org/officeDocument/2006/relationships" name="LeetCode" sheetId="4" state="visible" r:id="rId4"/>
    <sheet xmlns:r="http://schemas.openxmlformats.org/officeDocument/2006/relationships" name="Timetable" sheetId="5" state="visible" r:id="rId5"/>
  </sheets>
  <definedNames>
    <definedName name="_xlnm._FilterDatabase" localSheetId="1" hidden="1">'Tracker'!$A$1:$T$76</definedName>
    <definedName name="_xlnm._FilterDatabase" localSheetId="2" hidden="1">'Plan'!$A$1:$T$76</definedName>
    <definedName name="_xlnm._FilterDatabase" localSheetId="3" hidden="1">'LeetCode'!$A$1:$I$226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 d mmm"/>
    <numFmt numFmtId="166" formatCode="d mmm"/>
  </numFmts>
  <fonts count="11">
    <font>
      <name val="Calibri"/>
      <family val="2"/>
      <color theme="1"/>
      <sz val="11"/>
      <scheme val="minor"/>
    </font>
    <font>
      <b val="1"/>
      <color rgb="00FFFFFF"/>
    </font>
    <font>
      <color rgb="001D4ED8"/>
      <u val="single"/>
    </font>
    <font>
      <b val="1"/>
      <color rgb="0015803D"/>
    </font>
    <font>
      <b val="1"/>
      <color rgb="00B45309"/>
    </font>
    <font>
      <b val="1"/>
      <color rgb="00B91C1C"/>
    </font>
    <font>
      <b val="1"/>
      <color rgb="0015803D"/>
      <sz val="20"/>
    </font>
    <font>
      <i val="1"/>
      <color rgb="006B6560"/>
    </font>
    <font>
      <b val="1"/>
    </font>
    <font>
      <b val="1"/>
      <color rgb="0015803D"/>
      <sz val="13"/>
    </font>
    <font>
      <b val="1"/>
      <color rgb="0015803D"/>
      <sz val="12"/>
    </font>
  </fonts>
  <fills count="3">
    <fill>
      <patternFill/>
    </fill>
    <fill>
      <patternFill patternType="gray125"/>
    </fill>
    <fill>
      <patternFill patternType="solid">
        <fgColor rgb="0015803D"/>
      </patternFill>
    </fill>
  </fills>
  <borders count="2">
    <border>
      <left/>
      <right/>
      <top/>
      <bottom/>
      <diagonal/>
    </border>
    <border>
      <left style="thin">
        <color rgb="00E6E2DC"/>
      </left>
      <right style="thin">
        <color rgb="00E6E2DC"/>
      </right>
      <top style="thin">
        <color rgb="00E6E2DC"/>
      </top>
      <bottom style="thin">
        <color rgb="00E6E2D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9" fontId="9" fillId="0" borderId="0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0" fontId="1" fillId="2" borderId="0" pivotButton="0" quotePrefix="0" xfId="0"/>
    <xf numFmtId="9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6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b val="1"/>
        <color rgb="0015803D"/>
      </font>
      <fill>
        <patternFill patternType="solid">
          <fgColor rgb="00DCF3E4"/>
        </patternFill>
      </fill>
    </dxf>
    <dxf>
      <font>
        <b val="1"/>
        <color rgb="00B45309"/>
      </font>
      <fill>
        <patternFill patternType="solid">
          <fgColor rgb="00FDEBD3"/>
        </patternFill>
      </fill>
    </dxf>
    <dxf>
      <font>
        <b val="1"/>
        <color rgb="00B91C1C"/>
      </font>
      <fill>
        <patternFill patternType="solid">
          <fgColor rgb="00FBE0E0"/>
        </patternFill>
      </fill>
    </dxf>
    <dxf>
      <font>
        <b val="1"/>
        <color rgb="00FFFFFF"/>
      </font>
      <fill>
        <patternFill patternType="solid">
          <fgColor rgb="0015803D"/>
        </patternFill>
      </fill>
    </dxf>
    <dxf>
      <font>
        <b val="1"/>
        <color rgb="006B6560"/>
      </font>
      <fill>
        <patternFill patternType="solid">
          <fgColor rgb="00F0EEE9"/>
        </patternFill>
      </fill>
    </dxf>
    <dxf>
      <font>
        <b val="1"/>
      </font>
      <fill>
        <patternFill patternType="solid">
          <fgColor rgb="00E7F3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/><Relationship Type="http://schemas.openxmlformats.org/officeDocument/2006/relationships/hyperlink" Target="https://leetcode.com/problems/contains-duplicate/" TargetMode="External" Id="rId2"/><Relationship Type="http://schemas.openxmlformats.org/officeDocument/2006/relationships/hyperlink" Target="https://leetcode.com/problems/valid-anagram/" TargetMode="External" Id="rId3"/><Relationship Type="http://schemas.openxmlformats.org/officeDocument/2006/relationships/hyperlink" Target="https://leetcode.com/problems/group-anagrams/" TargetMode="External" Id="rId4"/><Relationship Type="http://schemas.openxmlformats.org/officeDocument/2006/relationships/hyperlink" Target="https://leetcode.com/problems/top-k-frequent-elements/" TargetMode="External" Id="rId5"/><Relationship Type="http://schemas.openxmlformats.org/officeDocument/2006/relationships/hyperlink" Target="https://leetcode.com/problems/product-of-array-except-self/" TargetMode="External" Id="rId6"/><Relationship Type="http://schemas.openxmlformats.org/officeDocument/2006/relationships/hyperlink" Target="https://leetcode.com/problems/valid-sudoku/" TargetMode="External" Id="rId7"/><Relationship Type="http://schemas.openxmlformats.org/officeDocument/2006/relationships/hyperlink" Target="https://leetcode.com/problems/longest-consecutive-sequence/" TargetMode="External" Id="rId8"/><Relationship Type="http://schemas.openxmlformats.org/officeDocument/2006/relationships/hyperlink" Target="https://leetcode.com/problems/majority-element/" TargetMode="External" Id="rId9"/><Relationship Type="http://schemas.openxmlformats.org/officeDocument/2006/relationships/hyperlink" Target="https://leetcode.com/problems/valid-palindrome/" TargetMode="External" Id="rId10"/><Relationship Type="http://schemas.openxmlformats.org/officeDocument/2006/relationships/hyperlink" Target="https://leetcode.com/problems/two-sum-ii-input-array-is-sorted/" TargetMode="External" Id="rId11"/><Relationship Type="http://schemas.openxmlformats.org/officeDocument/2006/relationships/hyperlink" Target="https://leetcode.com/problems/3sum/" TargetMode="External" Id="rId12"/><Relationship Type="http://schemas.openxmlformats.org/officeDocument/2006/relationships/hyperlink" Target="https://leetcode.com/problems/container-with-most-water/" TargetMode="External" Id="rId13"/><Relationship Type="http://schemas.openxmlformats.org/officeDocument/2006/relationships/hyperlink" Target="https://leetcode.com/problems/remove-duplicates-from-sorted-array/" TargetMode="External" Id="rId14"/><Relationship Type="http://schemas.openxmlformats.org/officeDocument/2006/relationships/hyperlink" Target="https://leetcode.com/problems/move-zeroes/" TargetMode="External" Id="rId15"/><Relationship Type="http://schemas.openxmlformats.org/officeDocument/2006/relationships/hyperlink" Target="https://leetcode.com/problems/trapping-rain-water/" TargetMode="External" Id="rId16"/><Relationship Type="http://schemas.openxmlformats.org/officeDocument/2006/relationships/hyperlink" Target="https://leetcode.com/problems/merge-sorted-array/" TargetMode="External" Id="rId17"/><Relationship Type="http://schemas.openxmlformats.org/officeDocument/2006/relationships/hyperlink" Target="https://leetcode.com/problems/reverse-string/" TargetMode="External" Id="rId18"/><Relationship Type="http://schemas.openxmlformats.org/officeDocument/2006/relationships/hyperlink" Target="https://leetcode.com/problems/best-time-to-buy-and-sell-stock/" TargetMode="External" Id="rId19"/><Relationship Type="http://schemas.openxmlformats.org/officeDocument/2006/relationships/hyperlink" Target="https://leetcode.com/problems/longest-substring-without-repeating-characters/" TargetMode="External" Id="rId20"/><Relationship Type="http://schemas.openxmlformats.org/officeDocument/2006/relationships/hyperlink" Target="https://leetcode.com/problems/longest-repeating-character-replacement/" TargetMode="External" Id="rId21"/><Relationship Type="http://schemas.openxmlformats.org/officeDocument/2006/relationships/hyperlink" Target="https://leetcode.com/problems/permutation-in-string/" TargetMode="External" Id="rId22"/><Relationship Type="http://schemas.openxmlformats.org/officeDocument/2006/relationships/hyperlink" Target="https://leetcode.com/problems/minimum-window-substring/" TargetMode="External" Id="rId23"/><Relationship Type="http://schemas.openxmlformats.org/officeDocument/2006/relationships/hyperlink" Target="https://leetcode.com/problems/maximum-average-subarray-i/" TargetMode="External" Id="rId24"/><Relationship Type="http://schemas.openxmlformats.org/officeDocument/2006/relationships/hyperlink" Target="https://leetcode.com/problems/sliding-window-maximum/" TargetMode="External" Id="rId25"/><Relationship Type="http://schemas.openxmlformats.org/officeDocument/2006/relationships/hyperlink" Target="https://leetcode.com/problems/minimum-size-subarray-sum/" TargetMode="External" Id="rId26"/><Relationship Type="http://schemas.openxmlformats.org/officeDocument/2006/relationships/hyperlink" Target="https://leetcode.com/problems/max-consecutive-ones-iii/" TargetMode="External" Id="rId27"/><Relationship Type="http://schemas.openxmlformats.org/officeDocument/2006/relationships/hyperlink" Target="https://leetcode.com/problems/valid-parentheses/" TargetMode="External" Id="rId28"/><Relationship Type="http://schemas.openxmlformats.org/officeDocument/2006/relationships/hyperlink" Target="https://leetcode.com/problems/min-stack/" TargetMode="External" Id="rId29"/><Relationship Type="http://schemas.openxmlformats.org/officeDocument/2006/relationships/hyperlink" Target="https://leetcode.com/problems/evaluate-reverse-polish-notation/" TargetMode="External" Id="rId30"/><Relationship Type="http://schemas.openxmlformats.org/officeDocument/2006/relationships/hyperlink" Target="https://leetcode.com/problems/generate-parentheses/" TargetMode="External" Id="rId31"/><Relationship Type="http://schemas.openxmlformats.org/officeDocument/2006/relationships/hyperlink" Target="https://leetcode.com/problems/daily-temperatures/" TargetMode="External" Id="rId32"/><Relationship Type="http://schemas.openxmlformats.org/officeDocument/2006/relationships/hyperlink" Target="https://leetcode.com/problems/car-fleet/" TargetMode="External" Id="rId33"/><Relationship Type="http://schemas.openxmlformats.org/officeDocument/2006/relationships/hyperlink" Target="https://leetcode.com/problems/next-greater-element-i/" TargetMode="External" Id="rId34"/><Relationship Type="http://schemas.openxmlformats.org/officeDocument/2006/relationships/hyperlink" Target="https://leetcode.com/problems/implement-queue-using-stacks/" TargetMode="External" Id="rId35"/><Relationship Type="http://schemas.openxmlformats.org/officeDocument/2006/relationships/hyperlink" Target="https://leetcode.com/problems/simplify-path/" TargetMode="External" Id="rId36"/><Relationship Type="http://schemas.openxmlformats.org/officeDocument/2006/relationships/hyperlink" Target="https://leetcode.com/problems/largest-rectangle-in-histogram/" TargetMode="External" Id="rId37"/><Relationship Type="http://schemas.openxmlformats.org/officeDocument/2006/relationships/hyperlink" Target="https://leetcode.com/problems/online-stock-span/" TargetMode="External" Id="rId38"/><Relationship Type="http://schemas.openxmlformats.org/officeDocument/2006/relationships/hyperlink" Target="https://leetcode.com/problems/decode-string/" TargetMode="External" Id="rId39"/><Relationship Type="http://schemas.openxmlformats.org/officeDocument/2006/relationships/hyperlink" Target="https://leetcode.com/problems/binary-search/" TargetMode="External" Id="rId40"/><Relationship Type="http://schemas.openxmlformats.org/officeDocument/2006/relationships/hyperlink" Target="https://leetcode.com/problems/search-insert-position/" TargetMode="External" Id="rId41"/><Relationship Type="http://schemas.openxmlformats.org/officeDocument/2006/relationships/hyperlink" Target="https://leetcode.com/problems/search-a-2d-matrix/" TargetMode="External" Id="rId42"/><Relationship Type="http://schemas.openxmlformats.org/officeDocument/2006/relationships/hyperlink" Target="https://leetcode.com/problems/lru-cache/" TargetMode="External" Id="rId43"/><Relationship Type="http://schemas.openxmlformats.org/officeDocument/2006/relationships/hyperlink" Target="https://leetcode.com/problems/reverse-linked-list/" TargetMode="External" Id="rId44"/><Relationship Type="http://schemas.openxmlformats.org/officeDocument/2006/relationships/hyperlink" Target="https://leetcode.com/problems/merge-two-sorted-lists/" TargetMode="External" Id="rId45"/><Relationship Type="http://schemas.openxmlformats.org/officeDocument/2006/relationships/hyperlink" Target="https://leetcode.com/problems/linked-list-cycle/" TargetMode="External" Id="rId46"/><Relationship Type="http://schemas.openxmlformats.org/officeDocument/2006/relationships/hyperlink" Target="https://leetcode.com/problems/reorder-list/" TargetMode="External" Id="rId47"/><Relationship Type="http://schemas.openxmlformats.org/officeDocument/2006/relationships/hyperlink" Target="https://leetcode.com/problems/remove-nth-node-from-end-of-list/" TargetMode="External" Id="rId48"/><Relationship Type="http://schemas.openxmlformats.org/officeDocument/2006/relationships/hyperlink" Target="https://leetcode.com/problems/copy-list-with-random-pointer/" TargetMode="External" Id="rId49"/><Relationship Type="http://schemas.openxmlformats.org/officeDocument/2006/relationships/hyperlink" Target="https://leetcode.com/problems/add-two-numbers/" TargetMode="External" Id="rId50"/><Relationship Type="http://schemas.openxmlformats.org/officeDocument/2006/relationships/hyperlink" Target="https://leetcode.com/problems/find-the-duplicate-number/" TargetMode="External" Id="rId51"/><Relationship Type="http://schemas.openxmlformats.org/officeDocument/2006/relationships/hyperlink" Target="https://leetcode.com/problems/koko-eating-bananas/" TargetMode="External" Id="rId52"/><Relationship Type="http://schemas.openxmlformats.org/officeDocument/2006/relationships/hyperlink" Target="https://leetcode.com/problems/find-minimum-in-rotated-sorted-array/" TargetMode="External" Id="rId53"/><Relationship Type="http://schemas.openxmlformats.org/officeDocument/2006/relationships/hyperlink" Target="https://leetcode.com/problems/search-in-rotated-sorted-array/" TargetMode="External" Id="rId54"/><Relationship Type="http://schemas.openxmlformats.org/officeDocument/2006/relationships/hyperlink" Target="https://leetcode.com/problems/time-based-key-value-store/" TargetMode="External" Id="rId55"/><Relationship Type="http://schemas.openxmlformats.org/officeDocument/2006/relationships/hyperlink" Target="https://leetcode.com/problems/find-first-and-last-position-of-element-in-sorted-array/" TargetMode="External" Id="rId56"/><Relationship Type="http://schemas.openxmlformats.org/officeDocument/2006/relationships/hyperlink" Target="https://leetcode.com/problems/sqrtx/" TargetMode="External" Id="rId57"/><Relationship Type="http://schemas.openxmlformats.org/officeDocument/2006/relationships/hyperlink" Target="https://leetcode.com/problems/merge-k-sorted-lists/" TargetMode="External" Id="rId58"/><Relationship Type="http://schemas.openxmlformats.org/officeDocument/2006/relationships/hyperlink" Target="https://leetcode.com/problems/intersection-of-two-linked-lists/" TargetMode="External" Id="rId59"/><Relationship Type="http://schemas.openxmlformats.org/officeDocument/2006/relationships/hyperlink" Target="https://leetcode.com/problems/palindrome-linked-list/" TargetMode="External" Id="rId60"/><Relationship Type="http://schemas.openxmlformats.org/officeDocument/2006/relationships/hyperlink" Target="https://leetcode.com/problems/middle-of-the-linked-list/" TargetMode="External" Id="rId61"/><Relationship Type="http://schemas.openxmlformats.org/officeDocument/2006/relationships/hyperlink" Target="https://leetcode.com/problems/remove-linked-list-elements/" TargetMode="External" Id="rId62"/><Relationship Type="http://schemas.openxmlformats.org/officeDocument/2006/relationships/hyperlink" Target="https://leetcode.com/problems/reverse-linked-list-ii/" TargetMode="External" Id="rId63"/><Relationship Type="http://schemas.openxmlformats.org/officeDocument/2006/relationships/hyperlink" Target="https://leetcode.com/problems/subarray-sum-equals-k/" TargetMode="External" Id="rId64"/><Relationship Type="http://schemas.openxmlformats.org/officeDocument/2006/relationships/hyperlink" Target="https://leetcode.com/problems/range-sum-query-immutable/" TargetMode="External" Id="rId65"/><Relationship Type="http://schemas.openxmlformats.org/officeDocument/2006/relationships/hyperlink" Target="https://leetcode.com/problems/find-pivot-index/" TargetMode="External" Id="rId66"/><Relationship Type="http://schemas.openxmlformats.org/officeDocument/2006/relationships/hyperlink" Target="https://leetcode.com/problems/contiguous-array/" TargetMode="External" Id="rId67"/><Relationship Type="http://schemas.openxmlformats.org/officeDocument/2006/relationships/hyperlink" Target="https://leetcode.com/problems/subarray-sums-divisible-by-k/" TargetMode="External" Id="rId68"/><Relationship Type="http://schemas.openxmlformats.org/officeDocument/2006/relationships/hyperlink" Target="https://leetcode.com/problems/find-all-anagrams-in-a-string/" TargetMode="External" Id="rId69"/><Relationship Type="http://schemas.openxmlformats.org/officeDocument/2006/relationships/hyperlink" Target="https://leetcode.com/problems/find-peak-element/" TargetMode="External" Id="rId70"/><Relationship Type="http://schemas.openxmlformats.org/officeDocument/2006/relationships/hyperlink" Target="https://leetcode.com/problems/single-element-in-a-sorted-array/" TargetMode="External" Id="rId71"/><Relationship Type="http://schemas.openxmlformats.org/officeDocument/2006/relationships/hyperlink" Target="https://leetcode.com/problems/capacity-to-ship-packages-within-d-days/" TargetMode="External" Id="rId72"/><Relationship Type="http://schemas.openxmlformats.org/officeDocument/2006/relationships/hyperlink" Target="https://leetcode.com/problems/sort-colors/" TargetMode="External" Id="rId73"/><Relationship Type="http://schemas.openxmlformats.org/officeDocument/2006/relationships/hyperlink" Target="https://leetcode.com/problems/rotate-array/" TargetMode="External" Id="rId74"/><Relationship Type="http://schemas.openxmlformats.org/officeDocument/2006/relationships/hyperlink" Target="https://leetcode.com/problems/rotate-image/" TargetMode="External" Id="rId75"/><Relationship Type="http://schemas.openxmlformats.org/officeDocument/2006/relationships/hyperlink" Target="https://leetcode.com/problems/invert-binary-tree/" TargetMode="External" Id="rId76"/><Relationship Type="http://schemas.openxmlformats.org/officeDocument/2006/relationships/hyperlink" Target="https://leetcode.com/problems/maximum-depth-of-binary-tree/" TargetMode="External" Id="rId77"/><Relationship Type="http://schemas.openxmlformats.org/officeDocument/2006/relationships/hyperlink" Target="https://leetcode.com/problems/same-tree/" TargetMode="External" Id="rId78"/><Relationship Type="http://schemas.openxmlformats.org/officeDocument/2006/relationships/hyperlink" Target="https://leetcode.com/problems/diameter-of-binary-tree/" TargetMode="External" Id="rId79"/><Relationship Type="http://schemas.openxmlformats.org/officeDocument/2006/relationships/hyperlink" Target="https://leetcode.com/problems/balanced-binary-tree/" TargetMode="External" Id="rId80"/><Relationship Type="http://schemas.openxmlformats.org/officeDocument/2006/relationships/hyperlink" Target="https://leetcode.com/problems/subtree-of-another-tree/" TargetMode="External" Id="rId81"/><Relationship Type="http://schemas.openxmlformats.org/officeDocument/2006/relationships/hyperlink" Target="https://leetcode.com/problems/symmetric-tree/" TargetMode="External" Id="rId82"/><Relationship Type="http://schemas.openxmlformats.org/officeDocument/2006/relationships/hyperlink" Target="https://leetcode.com/problems/path-sum/" TargetMode="External" Id="rId83"/><Relationship Type="http://schemas.openxmlformats.org/officeDocument/2006/relationships/hyperlink" Target="https://leetcode.com/problems/binary-tree-paths/" TargetMode="External" Id="rId84"/><Relationship Type="http://schemas.openxmlformats.org/officeDocument/2006/relationships/hyperlink" Target="https://leetcode.com/problems/binary-tree-level-order-traversal/" TargetMode="External" Id="rId85"/><Relationship Type="http://schemas.openxmlformats.org/officeDocument/2006/relationships/hyperlink" Target="https://leetcode.com/problems/binary-tree-right-side-view/" TargetMode="External" Id="rId86"/><Relationship Type="http://schemas.openxmlformats.org/officeDocument/2006/relationships/hyperlink" Target="https://leetcode.com/problems/average-of-levels-in-binary-tree/" TargetMode="External" Id="rId87"/><Relationship Type="http://schemas.openxmlformats.org/officeDocument/2006/relationships/hyperlink" Target="https://leetcode.com/problems/lowest-common-ancestor-of-a-binary-search-tree/" TargetMode="External" Id="rId88"/><Relationship Type="http://schemas.openxmlformats.org/officeDocument/2006/relationships/hyperlink" Target="https://leetcode.com/problems/validate-binary-search-tree/" TargetMode="External" Id="rId89"/><Relationship Type="http://schemas.openxmlformats.org/officeDocument/2006/relationships/hyperlink" Target="https://leetcode.com/problems/kth-smallest-element-in-a-bst/" TargetMode="External" Id="rId90"/><Relationship Type="http://schemas.openxmlformats.org/officeDocument/2006/relationships/hyperlink" Target="https://leetcode.com/problems/construct-binary-tree-from-preorder-and-inorder-traversal/" TargetMode="External" Id="rId91"/><Relationship Type="http://schemas.openxmlformats.org/officeDocument/2006/relationships/hyperlink" Target="https://leetcode.com/problems/count-good-nodes-in-binary-tree/" TargetMode="External" Id="rId92"/><Relationship Type="http://schemas.openxmlformats.org/officeDocument/2006/relationships/hyperlink" Target="https://leetcode.com/problems/lowest-common-ancestor-of-a-binary-tree/" TargetMode="External" Id="rId93"/><Relationship Type="http://schemas.openxmlformats.org/officeDocument/2006/relationships/hyperlink" Target="https://leetcode.com/problems/serialize-and-deserialize-binary-tree/" TargetMode="External" Id="rId94"/><Relationship Type="http://schemas.openxmlformats.org/officeDocument/2006/relationships/hyperlink" Target="https://leetcode.com/problems/delete-node-in-a-bst/" TargetMode="External" Id="rId95"/><Relationship Type="http://schemas.openxmlformats.org/officeDocument/2006/relationships/hyperlink" Target="https://leetcode.com/problems/convert-sorted-array-to-binary-search-tree/" TargetMode="External" Id="rId96"/><Relationship Type="http://schemas.openxmlformats.org/officeDocument/2006/relationships/hyperlink" Target="https://leetcode.com/problems/search-in-a-binary-search-tree/" TargetMode="External" Id="rId97"/><Relationship Type="http://schemas.openxmlformats.org/officeDocument/2006/relationships/hyperlink" Target="https://leetcode.com/problems/insert-into-a-binary-search-tree/" TargetMode="External" Id="rId98"/><Relationship Type="http://schemas.openxmlformats.org/officeDocument/2006/relationships/hyperlink" Target="https://leetcode.com/problems/range-sum-of-bst/" TargetMode="External" Id="rId99"/><Relationship Type="http://schemas.openxmlformats.org/officeDocument/2006/relationships/hyperlink" Target="https://leetcode.com/problems/binary-tree-maximum-path-sum/" TargetMode="External" Id="rId100"/><Relationship Type="http://schemas.openxmlformats.org/officeDocument/2006/relationships/hyperlink" Target="https://leetcode.com/problems/flatten-binary-tree-to-linked-list/" TargetMode="External" Id="rId101"/><Relationship Type="http://schemas.openxmlformats.org/officeDocument/2006/relationships/hyperlink" Target="https://leetcode.com/problems/populating-next-right-pointers-in-each-node/" TargetMode="External" Id="rId102"/><Relationship Type="http://schemas.openxmlformats.org/officeDocument/2006/relationships/hyperlink" Target="https://leetcode.com/problems/kth-largest-element-in-a-stream/" TargetMode="External" Id="rId103"/><Relationship Type="http://schemas.openxmlformats.org/officeDocument/2006/relationships/hyperlink" Target="https://leetcode.com/problems/last-stone-weight/" TargetMode="External" Id="rId104"/><Relationship Type="http://schemas.openxmlformats.org/officeDocument/2006/relationships/hyperlink" Target="https://leetcode.com/problems/kth-largest-element-in-an-array/" TargetMode="External" Id="rId105"/><Relationship Type="http://schemas.openxmlformats.org/officeDocument/2006/relationships/hyperlink" Target="https://leetcode.com/problems/k-closest-points-to-origin/" TargetMode="External" Id="rId106"/><Relationship Type="http://schemas.openxmlformats.org/officeDocument/2006/relationships/hyperlink" Target="https://leetcode.com/problems/task-scheduler/" TargetMode="External" Id="rId107"/><Relationship Type="http://schemas.openxmlformats.org/officeDocument/2006/relationships/hyperlink" Target="https://leetcode.com/problems/design-twitter/" TargetMode="External" Id="rId108"/><Relationship Type="http://schemas.openxmlformats.org/officeDocument/2006/relationships/hyperlink" Target="https://leetcode.com/problems/find-median-from-data-stream/" TargetMode="External" Id="rId109"/><Relationship Type="http://schemas.openxmlformats.org/officeDocument/2006/relationships/hyperlink" Target="https://leetcode.com/problems/reorganize-string/" TargetMode="External" Id="rId110"/><Relationship Type="http://schemas.openxmlformats.org/officeDocument/2006/relationships/hyperlink" Target="https://leetcode.com/problems/sort-characters-by-frequency/" TargetMode="External" Id="rId111"/><Relationship Type="http://schemas.openxmlformats.org/officeDocument/2006/relationships/hyperlink" Target="https://leetcode.com/problems/number-of-islands/" TargetMode="External" Id="rId112"/><Relationship Type="http://schemas.openxmlformats.org/officeDocument/2006/relationships/hyperlink" Target="https://leetcode.com/problems/clone-graph/" TargetMode="External" Id="rId113"/><Relationship Type="http://schemas.openxmlformats.org/officeDocument/2006/relationships/hyperlink" Target="https://leetcode.com/problems/max-area-of-island/" TargetMode="External" Id="rId114"/><Relationship Type="http://schemas.openxmlformats.org/officeDocument/2006/relationships/hyperlink" Target="https://leetcode.com/problems/rotting-oranges/" TargetMode="External" Id="rId115"/><Relationship Type="http://schemas.openxmlformats.org/officeDocument/2006/relationships/hyperlink" Target="https://leetcode.com/problems/pacific-atlantic-water-flow/" TargetMode="External" Id="rId116"/><Relationship Type="http://schemas.openxmlformats.org/officeDocument/2006/relationships/hyperlink" Target="https://leetcode.com/problems/surrounded-regions/" TargetMode="External" Id="rId117"/><Relationship Type="http://schemas.openxmlformats.org/officeDocument/2006/relationships/hyperlink" Target="https://leetcode.com/problems/course-schedule/" TargetMode="External" Id="rId118"/><Relationship Type="http://schemas.openxmlformats.org/officeDocument/2006/relationships/hyperlink" Target="https://leetcode.com/problems/course-schedule-ii/" TargetMode="External" Id="rId119"/><Relationship Type="http://schemas.openxmlformats.org/officeDocument/2006/relationships/hyperlink" Target="https://leetcode.com/problems/find-the-town-judge/" TargetMode="External" Id="rId120"/><Relationship Type="http://schemas.openxmlformats.org/officeDocument/2006/relationships/hyperlink" Target="https://leetcode.com/problems/redundant-connection/" TargetMode="External" Id="rId121"/><Relationship Type="http://schemas.openxmlformats.org/officeDocument/2006/relationships/hyperlink" Target="https://leetcode.com/problems/number-of-provinces/" TargetMode="External" Id="rId122"/><Relationship Type="http://schemas.openxmlformats.org/officeDocument/2006/relationships/hyperlink" Target="https://leetcode.com/problems/find-if-path-exists-in-graph/" TargetMode="External" Id="rId123"/><Relationship Type="http://schemas.openxmlformats.org/officeDocument/2006/relationships/hyperlink" Target="https://leetcode.com/problems/word-ladder/" TargetMode="External" Id="rId124"/><Relationship Type="http://schemas.openxmlformats.org/officeDocument/2006/relationships/hyperlink" Target="https://leetcode.com/problems/shortest-path-in-binary-matrix/" TargetMode="External" Id="rId125"/><Relationship Type="http://schemas.openxmlformats.org/officeDocument/2006/relationships/hyperlink" Target="https://leetcode.com/problems/open-the-lock/" TargetMode="External" Id="rId126"/><Relationship Type="http://schemas.openxmlformats.org/officeDocument/2006/relationships/hyperlink" Target="https://leetcode.com/problems/implement-trie-prefix-tree/" TargetMode="External" Id="rId127"/><Relationship Type="http://schemas.openxmlformats.org/officeDocument/2006/relationships/hyperlink" Target="https://leetcode.com/problems/design-add-and-search-words-data-structure/" TargetMode="External" Id="rId128"/><Relationship Type="http://schemas.openxmlformats.org/officeDocument/2006/relationships/hyperlink" Target="https://leetcode.com/problems/longest-common-prefix/" TargetMode="External" Id="rId129"/><Relationship Type="http://schemas.openxmlformats.org/officeDocument/2006/relationships/hyperlink" Target="https://leetcode.com/problems/word-search-ii/" TargetMode="External" Id="rId130"/><Relationship Type="http://schemas.openxmlformats.org/officeDocument/2006/relationships/hyperlink" Target="https://leetcode.com/problems/word-search/" TargetMode="External" Id="rId131"/><Relationship Type="http://schemas.openxmlformats.org/officeDocument/2006/relationships/hyperlink" Target="https://leetcode.com/problems/search-suggestions-system/" TargetMode="External" Id="rId132"/><Relationship Type="http://schemas.openxmlformats.org/officeDocument/2006/relationships/hyperlink" Target="https://leetcode.com/problems/merge-intervals/" TargetMode="External" Id="rId133"/><Relationship Type="http://schemas.openxmlformats.org/officeDocument/2006/relationships/hyperlink" Target="https://leetcode.com/problems/insert-interval/" TargetMode="External" Id="rId134"/><Relationship Type="http://schemas.openxmlformats.org/officeDocument/2006/relationships/hyperlink" Target="https://leetcode.com/problems/non-overlapping-intervals/" TargetMode="External" Id="rId135"/><Relationship Type="http://schemas.openxmlformats.org/officeDocument/2006/relationships/hyperlink" Target="https://leetcode.com/problems/minimum-number-of-arrows-to-burst-balloons/" TargetMode="External" Id="rId136"/><Relationship Type="http://schemas.openxmlformats.org/officeDocument/2006/relationships/hyperlink" Target="https://leetcode.com/problems/interval-list-intersections/" TargetMode="External" Id="rId137"/><Relationship Type="http://schemas.openxmlformats.org/officeDocument/2006/relationships/hyperlink" Target="https://leetcode.com/problems/my-calendar-i/" TargetMode="External" Id="rId138"/><Relationship Type="http://schemas.openxmlformats.org/officeDocument/2006/relationships/hyperlink" Target="https://leetcode.com/problems/single-number/" TargetMode="External" Id="rId139"/><Relationship Type="http://schemas.openxmlformats.org/officeDocument/2006/relationships/hyperlink" Target="https://leetcode.com/problems/number-of-1-bits/" TargetMode="External" Id="rId140"/><Relationship Type="http://schemas.openxmlformats.org/officeDocument/2006/relationships/hyperlink" Target="https://leetcode.com/problems/counting-bits/" TargetMode="External" Id="rId141"/><Relationship Type="http://schemas.openxmlformats.org/officeDocument/2006/relationships/hyperlink" Target="https://leetcode.com/problems/network-delay-time/" TargetMode="External" Id="rId142"/><Relationship Type="http://schemas.openxmlformats.org/officeDocument/2006/relationships/hyperlink" Target="https://leetcode.com/problems/min-cost-to-connect-all-points/" TargetMode="External" Id="rId143"/><Relationship Type="http://schemas.openxmlformats.org/officeDocument/2006/relationships/hyperlink" Target="https://leetcode.com/problems/cheapest-flights-within-k-stops/" TargetMode="External" Id="rId144"/><Relationship Type="http://schemas.openxmlformats.org/officeDocument/2006/relationships/hyperlink" Target="https://leetcode.com/problems/reverse-bits/" TargetMode="External" Id="rId145"/><Relationship Type="http://schemas.openxmlformats.org/officeDocument/2006/relationships/hyperlink" Target="https://leetcode.com/problems/missing-number/" TargetMode="External" Id="rId146"/><Relationship Type="http://schemas.openxmlformats.org/officeDocument/2006/relationships/hyperlink" Target="https://leetcode.com/problems/sum-of-two-integers/" TargetMode="External" Id="rId147"/><Relationship Type="http://schemas.openxmlformats.org/officeDocument/2006/relationships/hyperlink" Target="https://leetcode.com/problems/climbing-stairs/" TargetMode="External" Id="rId148"/><Relationship Type="http://schemas.openxmlformats.org/officeDocument/2006/relationships/hyperlink" Target="https://leetcode.com/problems/min-cost-climbing-stairs/" TargetMode="External" Id="rId149"/><Relationship Type="http://schemas.openxmlformats.org/officeDocument/2006/relationships/hyperlink" Target="https://leetcode.com/problems/house-robber/" TargetMode="External" Id="rId150"/><Relationship Type="http://schemas.openxmlformats.org/officeDocument/2006/relationships/hyperlink" Target="https://leetcode.com/problems/house-robber-ii/" TargetMode="External" Id="rId151"/><Relationship Type="http://schemas.openxmlformats.org/officeDocument/2006/relationships/hyperlink" Target="https://leetcode.com/problems/longest-palindromic-substring/" TargetMode="External" Id="rId152"/><Relationship Type="http://schemas.openxmlformats.org/officeDocument/2006/relationships/hyperlink" Target="https://leetcode.com/problems/palindromic-substrings/" TargetMode="External" Id="rId153"/><Relationship Type="http://schemas.openxmlformats.org/officeDocument/2006/relationships/hyperlink" Target="https://leetcode.com/problems/decode-ways/" TargetMode="External" Id="rId154"/><Relationship Type="http://schemas.openxmlformats.org/officeDocument/2006/relationships/hyperlink" Target="https://leetcode.com/problems/coin-change/" TargetMode="External" Id="rId155"/><Relationship Type="http://schemas.openxmlformats.org/officeDocument/2006/relationships/hyperlink" Target="https://leetcode.com/problems/maximum-product-subarray/" TargetMode="External" Id="rId156"/><Relationship Type="http://schemas.openxmlformats.org/officeDocument/2006/relationships/hyperlink" Target="https://leetcode.com/problems/word-break/" TargetMode="External" Id="rId157"/><Relationship Type="http://schemas.openxmlformats.org/officeDocument/2006/relationships/hyperlink" Target="https://leetcode.com/problems/longest-increasing-subsequence/" TargetMode="External" Id="rId158"/><Relationship Type="http://schemas.openxmlformats.org/officeDocument/2006/relationships/hyperlink" Target="https://leetcode.com/problems/partition-equal-subset-sum/" TargetMode="External" Id="rId159"/><Relationship Type="http://schemas.openxmlformats.org/officeDocument/2006/relationships/hyperlink" Target="https://leetcode.com/problems/fibonacci-number/" TargetMode="External" Id="rId160"/><Relationship Type="http://schemas.openxmlformats.org/officeDocument/2006/relationships/hyperlink" Target="https://leetcode.com/problems/n-th-tribonacci-number/" TargetMode="External" Id="rId161"/><Relationship Type="http://schemas.openxmlformats.org/officeDocument/2006/relationships/hyperlink" Target="https://leetcode.com/problems/pascals-triangle/" TargetMode="External" Id="rId162"/><Relationship Type="http://schemas.openxmlformats.org/officeDocument/2006/relationships/hyperlink" Target="https://leetcode.com/problems/unique-paths/" TargetMode="External" Id="rId163"/><Relationship Type="http://schemas.openxmlformats.org/officeDocument/2006/relationships/hyperlink" Target="https://leetcode.com/problems/longest-common-subsequence/" TargetMode="External" Id="rId164"/><Relationship Type="http://schemas.openxmlformats.org/officeDocument/2006/relationships/hyperlink" Target="https://leetcode.com/problems/best-time-to-buy-and-sell-stock-with-cooldown/" TargetMode="External" Id="rId165"/><Relationship Type="http://schemas.openxmlformats.org/officeDocument/2006/relationships/hyperlink" Target="https://leetcode.com/problems/coin-change-ii/" TargetMode="External" Id="rId166"/><Relationship Type="http://schemas.openxmlformats.org/officeDocument/2006/relationships/hyperlink" Target="https://leetcode.com/problems/target-sum/" TargetMode="External" Id="rId167"/><Relationship Type="http://schemas.openxmlformats.org/officeDocument/2006/relationships/hyperlink" Target="https://leetcode.com/problems/interleaving-string/" TargetMode="External" Id="rId168"/><Relationship Type="http://schemas.openxmlformats.org/officeDocument/2006/relationships/hyperlink" Target="https://leetcode.com/problems/edit-distance/" TargetMode="External" Id="rId169"/><Relationship Type="http://schemas.openxmlformats.org/officeDocument/2006/relationships/hyperlink" Target="https://leetcode.com/problems/minimum-path-sum/" TargetMode="External" Id="rId170"/><Relationship Type="http://schemas.openxmlformats.org/officeDocument/2006/relationships/hyperlink" Target="https://leetcode.com/problems/maximal-square/" TargetMode="External" Id="rId171"/><Relationship Type="http://schemas.openxmlformats.org/officeDocument/2006/relationships/hyperlink" Target="https://leetcode.com/problems/subsets/" TargetMode="External" Id="rId172"/><Relationship Type="http://schemas.openxmlformats.org/officeDocument/2006/relationships/hyperlink" Target="https://leetcode.com/problems/combination-sum/" TargetMode="External" Id="rId173"/><Relationship Type="http://schemas.openxmlformats.org/officeDocument/2006/relationships/hyperlink" Target="https://leetcode.com/problems/permutations/" TargetMode="External" Id="rId174"/><Relationship Type="http://schemas.openxmlformats.org/officeDocument/2006/relationships/hyperlink" Target="https://leetcode.com/problems/subsets-ii/" TargetMode="External" Id="rId175"/><Relationship Type="http://schemas.openxmlformats.org/officeDocument/2006/relationships/hyperlink" Target="https://leetcode.com/problems/combination-sum-ii/" TargetMode="External" Id="rId176"/><Relationship Type="http://schemas.openxmlformats.org/officeDocument/2006/relationships/hyperlink" Target="https://leetcode.com/problems/palindrome-partitioning/" TargetMode="External" Id="rId177"/><Relationship Type="http://schemas.openxmlformats.org/officeDocument/2006/relationships/hyperlink" Target="https://leetcode.com/problems/letter-combinations-of-a-phone-number/" TargetMode="External" Id="rId178"/><Relationship Type="http://schemas.openxmlformats.org/officeDocument/2006/relationships/hyperlink" Target="https://leetcode.com/problems/n-queens/" TargetMode="External" Id="rId179"/><Relationship Type="http://schemas.openxmlformats.org/officeDocument/2006/relationships/hyperlink" Target="https://leetcode.com/problems/combinations/" TargetMode="External" Id="rId180"/><Relationship Type="http://schemas.openxmlformats.org/officeDocument/2006/relationships/hyperlink" Target="https://leetcode.com/problems/assign-cookies/" TargetMode="External" Id="rId181"/><Relationship Type="http://schemas.openxmlformats.org/officeDocument/2006/relationships/hyperlink" Target="https://leetcode.com/problems/lemonade-change/" TargetMode="External" Id="rId182"/><Relationship Type="http://schemas.openxmlformats.org/officeDocument/2006/relationships/hyperlink" Target="https://leetcode.com/problems/best-time-to-buy-and-sell-stock-ii/" TargetMode="External" Id="rId183"/><Relationship Type="http://schemas.openxmlformats.org/officeDocument/2006/relationships/hyperlink" Target="https://leetcode.com/problems/jump-game/" TargetMode="External" Id="rId184"/><Relationship Type="http://schemas.openxmlformats.org/officeDocument/2006/relationships/hyperlink" Target="https://leetcode.com/problems/jump-game-ii/" TargetMode="External" Id="rId185"/><Relationship Type="http://schemas.openxmlformats.org/officeDocument/2006/relationships/hyperlink" Target="https://leetcode.com/problems/gas-station/" TargetMode="External" Id="rId186"/><Relationship Type="http://schemas.openxmlformats.org/officeDocument/2006/relationships/hyperlink" Target="https://leetcode.com/problems/partition-labels/" TargetMode="External" Id="rId187"/><Relationship Type="http://schemas.openxmlformats.org/officeDocument/2006/relationships/hyperlink" Target="https://leetcode.com/problems/hand-of-straights/" TargetMode="External" Id="rId188"/><Relationship Type="http://schemas.openxmlformats.org/officeDocument/2006/relationships/hyperlink" Target="https://leetcode.com/problems/valid-parenthesis-string/" TargetMode="External" Id="rId189"/><Relationship Type="http://schemas.openxmlformats.org/officeDocument/2006/relationships/hyperlink" Target="https://leetcode.com/problems/isomorphic-strings/" TargetMode="External" Id="rId190"/><Relationship Type="http://schemas.openxmlformats.org/officeDocument/2006/relationships/hyperlink" Target="https://leetcode.com/problems/word-pattern/" TargetMode="External" Id="rId191"/><Relationship Type="http://schemas.openxmlformats.org/officeDocument/2006/relationships/hyperlink" Target="https://leetcode.com/problems/determine-if-two-strings-are-close/" TargetMode="External" Id="rId192"/><Relationship Type="http://schemas.openxmlformats.org/officeDocument/2006/relationships/hyperlink" Target="https://leetcode.com/problems/is-graph-bipartite/" TargetMode="External" Id="rId193"/><Relationship Type="http://schemas.openxmlformats.org/officeDocument/2006/relationships/hyperlink" Target="https://leetcode.com/problems/evaluate-division/" TargetMode="External" Id="rId194"/><Relationship Type="http://schemas.openxmlformats.org/officeDocument/2006/relationships/hyperlink" Target="https://leetcode.com/problems/find-eventual-safe-states/" TargetMode="External" Id="rId195"/><Relationship Type="http://schemas.openxmlformats.org/officeDocument/2006/relationships/hyperlink" Target="https://leetcode.com/problems/insert-delete-getrandom-o1/" TargetMode="External" Id="rId196"/><Relationship Type="http://schemas.openxmlformats.org/officeDocument/2006/relationships/hyperlink" Target="https://leetcode.com/problems/design-hashmap/" TargetMode="External" Id="rId197"/><Relationship Type="http://schemas.openxmlformats.org/officeDocument/2006/relationships/hyperlink" Target="https://leetcode.com/problems/design-hashset/" TargetMode="External" Id="rId198"/><Relationship Type="http://schemas.openxmlformats.org/officeDocument/2006/relationships/hyperlink" Target="https://leetcode.com/problems/first-missing-positive/" TargetMode="External" Id="rId199"/><Relationship Type="http://schemas.openxmlformats.org/officeDocument/2006/relationships/hyperlink" Target="https://leetcode.com/problems/spiral-matrix/" TargetMode="External" Id="rId200"/><Relationship Type="http://schemas.openxmlformats.org/officeDocument/2006/relationships/hyperlink" Target="https://leetcode.com/problems/set-matrix-zeroes/" TargetMode="External" Id="rId201"/><Relationship Type="http://schemas.openxmlformats.org/officeDocument/2006/relationships/hyperlink" Target="https://leetcode.com/problems/palindrome-number/" TargetMode="External" Id="rId202"/><Relationship Type="http://schemas.openxmlformats.org/officeDocument/2006/relationships/hyperlink" Target="https://leetcode.com/problems/roman-to-integer/" TargetMode="External" Id="rId203"/><Relationship Type="http://schemas.openxmlformats.org/officeDocument/2006/relationships/hyperlink" Target="https://leetcode.com/problems/length-of-last-word/" TargetMode="External" Id="rId204"/><Relationship Type="http://schemas.openxmlformats.org/officeDocument/2006/relationships/hyperlink" Target="https://leetcode.com/problems/maximum-subarray/" TargetMode="External" Id="rId205"/><Relationship Type="http://schemas.openxmlformats.org/officeDocument/2006/relationships/hyperlink" Target="https://leetcode.com/problems/maximum-sum-circular-subarray/" TargetMode="External" Id="rId206"/><Relationship Type="http://schemas.openxmlformats.org/officeDocument/2006/relationships/hyperlink" Target="https://leetcode.com/problems/longest-subarray-of-1s-after-deleting-one-element/" TargetMode="External" Id="rId207"/><Relationship Type="http://schemas.openxmlformats.org/officeDocument/2006/relationships/hyperlink" Target="https://leetcode.com/problems/string-to-integer-atoi/" TargetMode="External" Id="rId208"/><Relationship Type="http://schemas.openxmlformats.org/officeDocument/2006/relationships/hyperlink" Target="https://leetcode.com/problems/multiply-strings/" TargetMode="External" Id="rId209"/><Relationship Type="http://schemas.openxmlformats.org/officeDocument/2006/relationships/hyperlink" Target="https://leetcode.com/problems/integer-to-roman/" TargetMode="External" Id="rId210"/><Relationship Type="http://schemas.openxmlformats.org/officeDocument/2006/relationships/hyperlink" Target="https://leetcode.com/problems/contains-duplicate-ii/" TargetMode="External" Id="rId211"/><Relationship Type="http://schemas.openxmlformats.org/officeDocument/2006/relationships/hyperlink" Target="https://leetcode.com/problems/summary-ranges/" TargetMode="External" Id="rId212"/><Relationship Type="http://schemas.openxmlformats.org/officeDocument/2006/relationships/hyperlink" Target="https://leetcode.com/problems/unique-number-of-occurrences/" TargetMode="External" Id="rId213"/><Relationship Type="http://schemas.openxmlformats.org/officeDocument/2006/relationships/hyperlink" Target="https://leetcode.com/problems/reorder-routes-to-make-all-paths-lead-to-the-city-zero/" TargetMode="External" Id="rId214"/><Relationship Type="http://schemas.openxmlformats.org/officeDocument/2006/relationships/hyperlink" Target="https://leetcode.com/problems/keys-and-rooms/" TargetMode="External" Id="rId215"/><Relationship Type="http://schemas.openxmlformats.org/officeDocument/2006/relationships/hyperlink" Target="https://leetcode.com/problems/nearest-exit-from-entrance-in-maze/" TargetMode="External" Id="rId216"/><Relationship Type="http://schemas.openxmlformats.org/officeDocument/2006/relationships/hyperlink" Target="https://leetcode.com/problems/merge-strings-alternately/" TargetMode="External" Id="rId217"/><Relationship Type="http://schemas.openxmlformats.org/officeDocument/2006/relationships/hyperlink" Target="https://leetcode.com/problems/greatest-common-divisor-of-strings/" TargetMode="External" Id="rId218"/><Relationship Type="http://schemas.openxmlformats.org/officeDocument/2006/relationships/hyperlink" Target="https://leetcode.com/problems/can-place-flowers/" TargetMode="External" Id="rId219"/><Relationship Type="http://schemas.openxmlformats.org/officeDocument/2006/relationships/hyperlink" Target="https://leetcode.com/problems/kids-with-the-greatest-number-of-candies/" TargetMode="External" Id="rId220"/><Relationship Type="http://schemas.openxmlformats.org/officeDocument/2006/relationships/hyperlink" Target="https://leetcode.com/problems/reverse-vowels-of-a-string/" TargetMode="External" Id="rId221"/><Relationship Type="http://schemas.openxmlformats.org/officeDocument/2006/relationships/hyperlink" Target="https://leetcode.com/problems/reverse-words-in-a-string/" TargetMode="External" Id="rId222"/><Relationship Type="http://schemas.openxmlformats.org/officeDocument/2006/relationships/hyperlink" Target="https://leetcode.com/problems/string-compression/" TargetMode="External" Id="rId223"/><Relationship Type="http://schemas.openxmlformats.org/officeDocument/2006/relationships/hyperlink" Target="https://leetcode.com/problems/max-number-of-k-sum-pairs/" TargetMode="External" Id="rId224"/><Relationship Type="http://schemas.openxmlformats.org/officeDocument/2006/relationships/hyperlink" Target="https://leetcode.com/problems/increasing-triplet-subsequence/" TargetMode="External" Id="rId225"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two-sum/" TargetMode="External" Id="rId1"/><Relationship Type="http://schemas.openxmlformats.org/officeDocument/2006/relationships/hyperlink" Target="https://leetcode.com/problems/contains-duplicate/" TargetMode="External" Id="rId2"/><Relationship Type="http://schemas.openxmlformats.org/officeDocument/2006/relationships/hyperlink" Target="https://leetcode.com/problems/valid-anagram/" TargetMode="External" Id="rId3"/><Relationship Type="http://schemas.openxmlformats.org/officeDocument/2006/relationships/hyperlink" Target="https://leetcode.com/problems/group-anagrams/" TargetMode="External" Id="rId4"/><Relationship Type="http://schemas.openxmlformats.org/officeDocument/2006/relationships/hyperlink" Target="https://leetcode.com/problems/top-k-frequent-elements/" TargetMode="External" Id="rId5"/><Relationship Type="http://schemas.openxmlformats.org/officeDocument/2006/relationships/hyperlink" Target="https://leetcode.com/problems/product-of-array-except-self/" TargetMode="External" Id="rId6"/><Relationship Type="http://schemas.openxmlformats.org/officeDocument/2006/relationships/hyperlink" Target="https://leetcode.com/problems/valid-sudoku/" TargetMode="External" Id="rId7"/><Relationship Type="http://schemas.openxmlformats.org/officeDocument/2006/relationships/hyperlink" Target="https://leetcode.com/problems/longest-consecutive-sequence/" TargetMode="External" Id="rId8"/><Relationship Type="http://schemas.openxmlformats.org/officeDocument/2006/relationships/hyperlink" Target="https://leetcode.com/problems/majority-element/" TargetMode="External" Id="rId9"/><Relationship Type="http://schemas.openxmlformats.org/officeDocument/2006/relationships/hyperlink" Target="https://leetcode.com/problems/valid-palindrome/" TargetMode="External" Id="rId10"/><Relationship Type="http://schemas.openxmlformats.org/officeDocument/2006/relationships/hyperlink" Target="https://leetcode.com/problems/two-sum-ii-input-array-is-sorted/" TargetMode="External" Id="rId11"/><Relationship Type="http://schemas.openxmlformats.org/officeDocument/2006/relationships/hyperlink" Target="https://leetcode.com/problems/3sum/" TargetMode="External" Id="rId12"/><Relationship Type="http://schemas.openxmlformats.org/officeDocument/2006/relationships/hyperlink" Target="https://leetcode.com/problems/container-with-most-water/" TargetMode="External" Id="rId13"/><Relationship Type="http://schemas.openxmlformats.org/officeDocument/2006/relationships/hyperlink" Target="https://leetcode.com/problems/remove-duplicates-from-sorted-array/" TargetMode="External" Id="rId14"/><Relationship Type="http://schemas.openxmlformats.org/officeDocument/2006/relationships/hyperlink" Target="https://leetcode.com/problems/move-zeroes/" TargetMode="External" Id="rId15"/><Relationship Type="http://schemas.openxmlformats.org/officeDocument/2006/relationships/hyperlink" Target="https://leetcode.com/problems/trapping-rain-water/" TargetMode="External" Id="rId16"/><Relationship Type="http://schemas.openxmlformats.org/officeDocument/2006/relationships/hyperlink" Target="https://leetcode.com/problems/merge-sorted-array/" TargetMode="External" Id="rId17"/><Relationship Type="http://schemas.openxmlformats.org/officeDocument/2006/relationships/hyperlink" Target="https://leetcode.com/problems/reverse-string/" TargetMode="External" Id="rId18"/><Relationship Type="http://schemas.openxmlformats.org/officeDocument/2006/relationships/hyperlink" Target="https://leetcode.com/problems/best-time-to-buy-and-sell-stock/" TargetMode="External" Id="rId19"/><Relationship Type="http://schemas.openxmlformats.org/officeDocument/2006/relationships/hyperlink" Target="https://leetcode.com/problems/longest-substring-without-repeating-characters/" TargetMode="External" Id="rId20"/><Relationship Type="http://schemas.openxmlformats.org/officeDocument/2006/relationships/hyperlink" Target="https://leetcode.com/problems/longest-repeating-character-replacement/" TargetMode="External" Id="rId21"/><Relationship Type="http://schemas.openxmlformats.org/officeDocument/2006/relationships/hyperlink" Target="https://leetcode.com/problems/permutation-in-string/" TargetMode="External" Id="rId22"/><Relationship Type="http://schemas.openxmlformats.org/officeDocument/2006/relationships/hyperlink" Target="https://leetcode.com/problems/minimum-window-substring/" TargetMode="External" Id="rId23"/><Relationship Type="http://schemas.openxmlformats.org/officeDocument/2006/relationships/hyperlink" Target="https://leetcode.com/problems/maximum-average-subarray-i/" TargetMode="External" Id="rId24"/><Relationship Type="http://schemas.openxmlformats.org/officeDocument/2006/relationships/hyperlink" Target="https://leetcode.com/problems/sliding-window-maximum/" TargetMode="External" Id="rId25"/><Relationship Type="http://schemas.openxmlformats.org/officeDocument/2006/relationships/hyperlink" Target="https://leetcode.com/problems/minimum-size-subarray-sum/" TargetMode="External" Id="rId26"/><Relationship Type="http://schemas.openxmlformats.org/officeDocument/2006/relationships/hyperlink" Target="https://leetcode.com/problems/max-consecutive-ones-iii/" TargetMode="External" Id="rId27"/><Relationship Type="http://schemas.openxmlformats.org/officeDocument/2006/relationships/hyperlink" Target="https://leetcode.com/problems/valid-parentheses/" TargetMode="External" Id="rId28"/><Relationship Type="http://schemas.openxmlformats.org/officeDocument/2006/relationships/hyperlink" Target="https://leetcode.com/problems/min-stack/" TargetMode="External" Id="rId29"/><Relationship Type="http://schemas.openxmlformats.org/officeDocument/2006/relationships/hyperlink" Target="https://leetcode.com/problems/evaluate-reverse-polish-notation/" TargetMode="External" Id="rId30"/><Relationship Type="http://schemas.openxmlformats.org/officeDocument/2006/relationships/hyperlink" Target="https://leetcode.com/problems/generate-parentheses/" TargetMode="External" Id="rId31"/><Relationship Type="http://schemas.openxmlformats.org/officeDocument/2006/relationships/hyperlink" Target="https://leetcode.com/problems/daily-temperatures/" TargetMode="External" Id="rId32"/><Relationship Type="http://schemas.openxmlformats.org/officeDocument/2006/relationships/hyperlink" Target="https://leetcode.com/problems/car-fleet/" TargetMode="External" Id="rId33"/><Relationship Type="http://schemas.openxmlformats.org/officeDocument/2006/relationships/hyperlink" Target="https://leetcode.com/problems/next-greater-element-i/" TargetMode="External" Id="rId34"/><Relationship Type="http://schemas.openxmlformats.org/officeDocument/2006/relationships/hyperlink" Target="https://leetcode.com/problems/implement-queue-using-stacks/" TargetMode="External" Id="rId35"/><Relationship Type="http://schemas.openxmlformats.org/officeDocument/2006/relationships/hyperlink" Target="https://leetcode.com/problems/simplify-path/" TargetMode="External" Id="rId36"/><Relationship Type="http://schemas.openxmlformats.org/officeDocument/2006/relationships/hyperlink" Target="https://leetcode.com/problems/largest-rectangle-in-histogram/" TargetMode="External" Id="rId37"/><Relationship Type="http://schemas.openxmlformats.org/officeDocument/2006/relationships/hyperlink" Target="https://leetcode.com/problems/online-stock-span/" TargetMode="External" Id="rId38"/><Relationship Type="http://schemas.openxmlformats.org/officeDocument/2006/relationships/hyperlink" Target="https://leetcode.com/problems/decode-string/" TargetMode="External" Id="rId39"/><Relationship Type="http://schemas.openxmlformats.org/officeDocument/2006/relationships/hyperlink" Target="https://leetcode.com/problems/binary-search/" TargetMode="External" Id="rId40"/><Relationship Type="http://schemas.openxmlformats.org/officeDocument/2006/relationships/hyperlink" Target="https://leetcode.com/problems/search-insert-position/" TargetMode="External" Id="rId41"/><Relationship Type="http://schemas.openxmlformats.org/officeDocument/2006/relationships/hyperlink" Target="https://leetcode.com/problems/search-a-2d-matrix/" TargetMode="External" Id="rId42"/><Relationship Type="http://schemas.openxmlformats.org/officeDocument/2006/relationships/hyperlink" Target="https://leetcode.com/problems/lru-cache/" TargetMode="External" Id="rId43"/><Relationship Type="http://schemas.openxmlformats.org/officeDocument/2006/relationships/hyperlink" Target="https://leetcode.com/problems/reverse-linked-list/" TargetMode="External" Id="rId44"/><Relationship Type="http://schemas.openxmlformats.org/officeDocument/2006/relationships/hyperlink" Target="https://leetcode.com/problems/merge-two-sorted-lists/" TargetMode="External" Id="rId45"/><Relationship Type="http://schemas.openxmlformats.org/officeDocument/2006/relationships/hyperlink" Target="https://leetcode.com/problems/linked-list-cycle/" TargetMode="External" Id="rId46"/><Relationship Type="http://schemas.openxmlformats.org/officeDocument/2006/relationships/hyperlink" Target="https://leetcode.com/problems/reorder-list/" TargetMode="External" Id="rId47"/><Relationship Type="http://schemas.openxmlformats.org/officeDocument/2006/relationships/hyperlink" Target="https://leetcode.com/problems/remove-nth-node-from-end-of-list/" TargetMode="External" Id="rId48"/><Relationship Type="http://schemas.openxmlformats.org/officeDocument/2006/relationships/hyperlink" Target="https://leetcode.com/problems/copy-list-with-random-pointer/" TargetMode="External" Id="rId49"/><Relationship Type="http://schemas.openxmlformats.org/officeDocument/2006/relationships/hyperlink" Target="https://leetcode.com/problems/add-two-numbers/" TargetMode="External" Id="rId50"/><Relationship Type="http://schemas.openxmlformats.org/officeDocument/2006/relationships/hyperlink" Target="https://leetcode.com/problems/find-the-duplicate-number/" TargetMode="External" Id="rId51"/><Relationship Type="http://schemas.openxmlformats.org/officeDocument/2006/relationships/hyperlink" Target="https://leetcode.com/problems/koko-eating-bananas/" TargetMode="External" Id="rId52"/><Relationship Type="http://schemas.openxmlformats.org/officeDocument/2006/relationships/hyperlink" Target="https://leetcode.com/problems/find-minimum-in-rotated-sorted-array/" TargetMode="External" Id="rId53"/><Relationship Type="http://schemas.openxmlformats.org/officeDocument/2006/relationships/hyperlink" Target="https://leetcode.com/problems/search-in-rotated-sorted-array/" TargetMode="External" Id="rId54"/><Relationship Type="http://schemas.openxmlformats.org/officeDocument/2006/relationships/hyperlink" Target="https://leetcode.com/problems/time-based-key-value-store/" TargetMode="External" Id="rId55"/><Relationship Type="http://schemas.openxmlformats.org/officeDocument/2006/relationships/hyperlink" Target="https://leetcode.com/problems/find-first-and-last-position-of-element-in-sorted-array/" TargetMode="External" Id="rId56"/><Relationship Type="http://schemas.openxmlformats.org/officeDocument/2006/relationships/hyperlink" Target="https://leetcode.com/problems/sqrtx/" TargetMode="External" Id="rId57"/><Relationship Type="http://schemas.openxmlformats.org/officeDocument/2006/relationships/hyperlink" Target="https://leetcode.com/problems/merge-k-sorted-lists/" TargetMode="External" Id="rId58"/><Relationship Type="http://schemas.openxmlformats.org/officeDocument/2006/relationships/hyperlink" Target="https://leetcode.com/problems/intersection-of-two-linked-lists/" TargetMode="External" Id="rId59"/><Relationship Type="http://schemas.openxmlformats.org/officeDocument/2006/relationships/hyperlink" Target="https://leetcode.com/problems/palindrome-linked-list/" TargetMode="External" Id="rId60"/><Relationship Type="http://schemas.openxmlformats.org/officeDocument/2006/relationships/hyperlink" Target="https://leetcode.com/problems/middle-of-the-linked-list/" TargetMode="External" Id="rId61"/><Relationship Type="http://schemas.openxmlformats.org/officeDocument/2006/relationships/hyperlink" Target="https://leetcode.com/problems/remove-linked-list-elements/" TargetMode="External" Id="rId62"/><Relationship Type="http://schemas.openxmlformats.org/officeDocument/2006/relationships/hyperlink" Target="https://leetcode.com/problems/reverse-linked-list-ii/" TargetMode="External" Id="rId63"/><Relationship Type="http://schemas.openxmlformats.org/officeDocument/2006/relationships/hyperlink" Target="https://leetcode.com/problems/subarray-sum-equals-k/" TargetMode="External" Id="rId64"/><Relationship Type="http://schemas.openxmlformats.org/officeDocument/2006/relationships/hyperlink" Target="https://leetcode.com/problems/range-sum-query-immutable/" TargetMode="External" Id="rId65"/><Relationship Type="http://schemas.openxmlformats.org/officeDocument/2006/relationships/hyperlink" Target="https://leetcode.com/problems/find-pivot-index/" TargetMode="External" Id="rId66"/><Relationship Type="http://schemas.openxmlformats.org/officeDocument/2006/relationships/hyperlink" Target="https://leetcode.com/problems/contiguous-array/" TargetMode="External" Id="rId67"/><Relationship Type="http://schemas.openxmlformats.org/officeDocument/2006/relationships/hyperlink" Target="https://leetcode.com/problems/subarray-sums-divisible-by-k/" TargetMode="External" Id="rId68"/><Relationship Type="http://schemas.openxmlformats.org/officeDocument/2006/relationships/hyperlink" Target="https://leetcode.com/problems/find-all-anagrams-in-a-string/" TargetMode="External" Id="rId69"/><Relationship Type="http://schemas.openxmlformats.org/officeDocument/2006/relationships/hyperlink" Target="https://leetcode.com/problems/find-peak-element/" TargetMode="External" Id="rId70"/><Relationship Type="http://schemas.openxmlformats.org/officeDocument/2006/relationships/hyperlink" Target="https://leetcode.com/problems/single-element-in-a-sorted-array/" TargetMode="External" Id="rId71"/><Relationship Type="http://schemas.openxmlformats.org/officeDocument/2006/relationships/hyperlink" Target="https://leetcode.com/problems/capacity-to-ship-packages-within-d-days/" TargetMode="External" Id="rId72"/><Relationship Type="http://schemas.openxmlformats.org/officeDocument/2006/relationships/hyperlink" Target="https://leetcode.com/problems/sort-colors/" TargetMode="External" Id="rId73"/><Relationship Type="http://schemas.openxmlformats.org/officeDocument/2006/relationships/hyperlink" Target="https://leetcode.com/problems/rotate-array/" TargetMode="External" Id="rId74"/><Relationship Type="http://schemas.openxmlformats.org/officeDocument/2006/relationships/hyperlink" Target="https://leetcode.com/problems/rotate-image/" TargetMode="External" Id="rId75"/><Relationship Type="http://schemas.openxmlformats.org/officeDocument/2006/relationships/hyperlink" Target="https://leetcode.com/problems/invert-binary-tree/" TargetMode="External" Id="rId76"/><Relationship Type="http://schemas.openxmlformats.org/officeDocument/2006/relationships/hyperlink" Target="https://leetcode.com/problems/maximum-depth-of-binary-tree/" TargetMode="External" Id="rId77"/><Relationship Type="http://schemas.openxmlformats.org/officeDocument/2006/relationships/hyperlink" Target="https://leetcode.com/problems/same-tree/" TargetMode="External" Id="rId78"/><Relationship Type="http://schemas.openxmlformats.org/officeDocument/2006/relationships/hyperlink" Target="https://leetcode.com/problems/diameter-of-binary-tree/" TargetMode="External" Id="rId79"/><Relationship Type="http://schemas.openxmlformats.org/officeDocument/2006/relationships/hyperlink" Target="https://leetcode.com/problems/balanced-binary-tree/" TargetMode="External" Id="rId80"/><Relationship Type="http://schemas.openxmlformats.org/officeDocument/2006/relationships/hyperlink" Target="https://leetcode.com/problems/subtree-of-another-tree/" TargetMode="External" Id="rId81"/><Relationship Type="http://schemas.openxmlformats.org/officeDocument/2006/relationships/hyperlink" Target="https://leetcode.com/problems/symmetric-tree/" TargetMode="External" Id="rId82"/><Relationship Type="http://schemas.openxmlformats.org/officeDocument/2006/relationships/hyperlink" Target="https://leetcode.com/problems/path-sum/" TargetMode="External" Id="rId83"/><Relationship Type="http://schemas.openxmlformats.org/officeDocument/2006/relationships/hyperlink" Target="https://leetcode.com/problems/binary-tree-paths/" TargetMode="External" Id="rId84"/><Relationship Type="http://schemas.openxmlformats.org/officeDocument/2006/relationships/hyperlink" Target="https://leetcode.com/problems/binary-tree-level-order-traversal/" TargetMode="External" Id="rId85"/><Relationship Type="http://schemas.openxmlformats.org/officeDocument/2006/relationships/hyperlink" Target="https://leetcode.com/problems/binary-tree-right-side-view/" TargetMode="External" Id="rId86"/><Relationship Type="http://schemas.openxmlformats.org/officeDocument/2006/relationships/hyperlink" Target="https://leetcode.com/problems/average-of-levels-in-binary-tree/" TargetMode="External" Id="rId87"/><Relationship Type="http://schemas.openxmlformats.org/officeDocument/2006/relationships/hyperlink" Target="https://leetcode.com/problems/lowest-common-ancestor-of-a-binary-search-tree/" TargetMode="External" Id="rId88"/><Relationship Type="http://schemas.openxmlformats.org/officeDocument/2006/relationships/hyperlink" Target="https://leetcode.com/problems/validate-binary-search-tree/" TargetMode="External" Id="rId89"/><Relationship Type="http://schemas.openxmlformats.org/officeDocument/2006/relationships/hyperlink" Target="https://leetcode.com/problems/kth-smallest-element-in-a-bst/" TargetMode="External" Id="rId90"/><Relationship Type="http://schemas.openxmlformats.org/officeDocument/2006/relationships/hyperlink" Target="https://leetcode.com/problems/construct-binary-tree-from-preorder-and-inorder-traversal/" TargetMode="External" Id="rId91"/><Relationship Type="http://schemas.openxmlformats.org/officeDocument/2006/relationships/hyperlink" Target="https://leetcode.com/problems/count-good-nodes-in-binary-tree/" TargetMode="External" Id="rId92"/><Relationship Type="http://schemas.openxmlformats.org/officeDocument/2006/relationships/hyperlink" Target="https://leetcode.com/problems/lowest-common-ancestor-of-a-binary-tree/" TargetMode="External" Id="rId93"/><Relationship Type="http://schemas.openxmlformats.org/officeDocument/2006/relationships/hyperlink" Target="https://leetcode.com/problems/serialize-and-deserialize-binary-tree/" TargetMode="External" Id="rId94"/><Relationship Type="http://schemas.openxmlformats.org/officeDocument/2006/relationships/hyperlink" Target="https://leetcode.com/problems/delete-node-in-a-bst/" TargetMode="External" Id="rId95"/><Relationship Type="http://schemas.openxmlformats.org/officeDocument/2006/relationships/hyperlink" Target="https://leetcode.com/problems/convert-sorted-array-to-binary-search-tree/" TargetMode="External" Id="rId96"/><Relationship Type="http://schemas.openxmlformats.org/officeDocument/2006/relationships/hyperlink" Target="https://leetcode.com/problems/search-in-a-binary-search-tree/" TargetMode="External" Id="rId97"/><Relationship Type="http://schemas.openxmlformats.org/officeDocument/2006/relationships/hyperlink" Target="https://leetcode.com/problems/insert-into-a-binary-search-tree/" TargetMode="External" Id="rId98"/><Relationship Type="http://schemas.openxmlformats.org/officeDocument/2006/relationships/hyperlink" Target="https://leetcode.com/problems/range-sum-of-bst/" TargetMode="External" Id="rId99"/><Relationship Type="http://schemas.openxmlformats.org/officeDocument/2006/relationships/hyperlink" Target="https://leetcode.com/problems/binary-tree-maximum-path-sum/" TargetMode="External" Id="rId100"/><Relationship Type="http://schemas.openxmlformats.org/officeDocument/2006/relationships/hyperlink" Target="https://leetcode.com/problems/flatten-binary-tree-to-linked-list/" TargetMode="External" Id="rId101"/><Relationship Type="http://schemas.openxmlformats.org/officeDocument/2006/relationships/hyperlink" Target="https://leetcode.com/problems/populating-next-right-pointers-in-each-node/" TargetMode="External" Id="rId102"/><Relationship Type="http://schemas.openxmlformats.org/officeDocument/2006/relationships/hyperlink" Target="https://leetcode.com/problems/kth-largest-element-in-a-stream/" TargetMode="External" Id="rId103"/><Relationship Type="http://schemas.openxmlformats.org/officeDocument/2006/relationships/hyperlink" Target="https://leetcode.com/problems/last-stone-weight/" TargetMode="External" Id="rId104"/><Relationship Type="http://schemas.openxmlformats.org/officeDocument/2006/relationships/hyperlink" Target="https://leetcode.com/problems/kth-largest-element-in-an-array/" TargetMode="External" Id="rId105"/><Relationship Type="http://schemas.openxmlformats.org/officeDocument/2006/relationships/hyperlink" Target="https://leetcode.com/problems/k-closest-points-to-origin/" TargetMode="External" Id="rId106"/><Relationship Type="http://schemas.openxmlformats.org/officeDocument/2006/relationships/hyperlink" Target="https://leetcode.com/problems/task-scheduler/" TargetMode="External" Id="rId107"/><Relationship Type="http://schemas.openxmlformats.org/officeDocument/2006/relationships/hyperlink" Target="https://leetcode.com/problems/design-twitter/" TargetMode="External" Id="rId108"/><Relationship Type="http://schemas.openxmlformats.org/officeDocument/2006/relationships/hyperlink" Target="https://leetcode.com/problems/find-median-from-data-stream/" TargetMode="External" Id="rId109"/><Relationship Type="http://schemas.openxmlformats.org/officeDocument/2006/relationships/hyperlink" Target="https://leetcode.com/problems/reorganize-string/" TargetMode="External" Id="rId110"/><Relationship Type="http://schemas.openxmlformats.org/officeDocument/2006/relationships/hyperlink" Target="https://leetcode.com/problems/sort-characters-by-frequency/" TargetMode="External" Id="rId111"/><Relationship Type="http://schemas.openxmlformats.org/officeDocument/2006/relationships/hyperlink" Target="https://leetcode.com/problems/number-of-islands/" TargetMode="External" Id="rId112"/><Relationship Type="http://schemas.openxmlformats.org/officeDocument/2006/relationships/hyperlink" Target="https://leetcode.com/problems/clone-graph/" TargetMode="External" Id="rId113"/><Relationship Type="http://schemas.openxmlformats.org/officeDocument/2006/relationships/hyperlink" Target="https://leetcode.com/problems/max-area-of-island/" TargetMode="External" Id="rId114"/><Relationship Type="http://schemas.openxmlformats.org/officeDocument/2006/relationships/hyperlink" Target="https://leetcode.com/problems/rotting-oranges/" TargetMode="External" Id="rId115"/><Relationship Type="http://schemas.openxmlformats.org/officeDocument/2006/relationships/hyperlink" Target="https://leetcode.com/problems/pacific-atlantic-water-flow/" TargetMode="External" Id="rId116"/><Relationship Type="http://schemas.openxmlformats.org/officeDocument/2006/relationships/hyperlink" Target="https://leetcode.com/problems/surrounded-regions/" TargetMode="External" Id="rId117"/><Relationship Type="http://schemas.openxmlformats.org/officeDocument/2006/relationships/hyperlink" Target="https://leetcode.com/problems/course-schedule/" TargetMode="External" Id="rId118"/><Relationship Type="http://schemas.openxmlformats.org/officeDocument/2006/relationships/hyperlink" Target="https://leetcode.com/problems/course-schedule-ii/" TargetMode="External" Id="rId119"/><Relationship Type="http://schemas.openxmlformats.org/officeDocument/2006/relationships/hyperlink" Target="https://leetcode.com/problems/find-the-town-judge/" TargetMode="External" Id="rId120"/><Relationship Type="http://schemas.openxmlformats.org/officeDocument/2006/relationships/hyperlink" Target="https://leetcode.com/problems/redundant-connection/" TargetMode="External" Id="rId121"/><Relationship Type="http://schemas.openxmlformats.org/officeDocument/2006/relationships/hyperlink" Target="https://leetcode.com/problems/number-of-provinces/" TargetMode="External" Id="rId122"/><Relationship Type="http://schemas.openxmlformats.org/officeDocument/2006/relationships/hyperlink" Target="https://leetcode.com/problems/find-if-path-exists-in-graph/" TargetMode="External" Id="rId123"/><Relationship Type="http://schemas.openxmlformats.org/officeDocument/2006/relationships/hyperlink" Target="https://leetcode.com/problems/word-ladder/" TargetMode="External" Id="rId124"/><Relationship Type="http://schemas.openxmlformats.org/officeDocument/2006/relationships/hyperlink" Target="https://leetcode.com/problems/shortest-path-in-binary-matrix/" TargetMode="External" Id="rId125"/><Relationship Type="http://schemas.openxmlformats.org/officeDocument/2006/relationships/hyperlink" Target="https://leetcode.com/problems/open-the-lock/" TargetMode="External" Id="rId126"/><Relationship Type="http://schemas.openxmlformats.org/officeDocument/2006/relationships/hyperlink" Target="https://leetcode.com/problems/implement-trie-prefix-tree/" TargetMode="External" Id="rId127"/><Relationship Type="http://schemas.openxmlformats.org/officeDocument/2006/relationships/hyperlink" Target="https://leetcode.com/problems/design-add-and-search-words-data-structure/" TargetMode="External" Id="rId128"/><Relationship Type="http://schemas.openxmlformats.org/officeDocument/2006/relationships/hyperlink" Target="https://leetcode.com/problems/longest-common-prefix/" TargetMode="External" Id="rId129"/><Relationship Type="http://schemas.openxmlformats.org/officeDocument/2006/relationships/hyperlink" Target="https://leetcode.com/problems/word-search-ii/" TargetMode="External" Id="rId130"/><Relationship Type="http://schemas.openxmlformats.org/officeDocument/2006/relationships/hyperlink" Target="https://leetcode.com/problems/word-search/" TargetMode="External" Id="rId131"/><Relationship Type="http://schemas.openxmlformats.org/officeDocument/2006/relationships/hyperlink" Target="https://leetcode.com/problems/search-suggestions-system/" TargetMode="External" Id="rId132"/><Relationship Type="http://schemas.openxmlformats.org/officeDocument/2006/relationships/hyperlink" Target="https://leetcode.com/problems/merge-intervals/" TargetMode="External" Id="rId133"/><Relationship Type="http://schemas.openxmlformats.org/officeDocument/2006/relationships/hyperlink" Target="https://leetcode.com/problems/insert-interval/" TargetMode="External" Id="rId134"/><Relationship Type="http://schemas.openxmlformats.org/officeDocument/2006/relationships/hyperlink" Target="https://leetcode.com/problems/non-overlapping-intervals/" TargetMode="External" Id="rId135"/><Relationship Type="http://schemas.openxmlformats.org/officeDocument/2006/relationships/hyperlink" Target="https://leetcode.com/problems/minimum-number-of-arrows-to-burst-balloons/" TargetMode="External" Id="rId136"/><Relationship Type="http://schemas.openxmlformats.org/officeDocument/2006/relationships/hyperlink" Target="https://leetcode.com/problems/interval-list-intersections/" TargetMode="External" Id="rId137"/><Relationship Type="http://schemas.openxmlformats.org/officeDocument/2006/relationships/hyperlink" Target="https://leetcode.com/problems/my-calendar-i/" TargetMode="External" Id="rId138"/><Relationship Type="http://schemas.openxmlformats.org/officeDocument/2006/relationships/hyperlink" Target="https://leetcode.com/problems/single-number/" TargetMode="External" Id="rId139"/><Relationship Type="http://schemas.openxmlformats.org/officeDocument/2006/relationships/hyperlink" Target="https://leetcode.com/problems/number-of-1-bits/" TargetMode="External" Id="rId140"/><Relationship Type="http://schemas.openxmlformats.org/officeDocument/2006/relationships/hyperlink" Target="https://leetcode.com/problems/counting-bits/" TargetMode="External" Id="rId141"/><Relationship Type="http://schemas.openxmlformats.org/officeDocument/2006/relationships/hyperlink" Target="https://leetcode.com/problems/network-delay-time/" TargetMode="External" Id="rId142"/><Relationship Type="http://schemas.openxmlformats.org/officeDocument/2006/relationships/hyperlink" Target="https://leetcode.com/problems/min-cost-to-connect-all-points/" TargetMode="External" Id="rId143"/><Relationship Type="http://schemas.openxmlformats.org/officeDocument/2006/relationships/hyperlink" Target="https://leetcode.com/problems/cheapest-flights-within-k-stops/" TargetMode="External" Id="rId144"/><Relationship Type="http://schemas.openxmlformats.org/officeDocument/2006/relationships/hyperlink" Target="https://leetcode.com/problems/reverse-bits/" TargetMode="External" Id="rId145"/><Relationship Type="http://schemas.openxmlformats.org/officeDocument/2006/relationships/hyperlink" Target="https://leetcode.com/problems/missing-number/" TargetMode="External" Id="rId146"/><Relationship Type="http://schemas.openxmlformats.org/officeDocument/2006/relationships/hyperlink" Target="https://leetcode.com/problems/sum-of-two-integers/" TargetMode="External" Id="rId147"/><Relationship Type="http://schemas.openxmlformats.org/officeDocument/2006/relationships/hyperlink" Target="https://leetcode.com/problems/climbing-stairs/" TargetMode="External" Id="rId148"/><Relationship Type="http://schemas.openxmlformats.org/officeDocument/2006/relationships/hyperlink" Target="https://leetcode.com/problems/min-cost-climbing-stairs/" TargetMode="External" Id="rId149"/><Relationship Type="http://schemas.openxmlformats.org/officeDocument/2006/relationships/hyperlink" Target="https://leetcode.com/problems/house-robber/" TargetMode="External" Id="rId150"/><Relationship Type="http://schemas.openxmlformats.org/officeDocument/2006/relationships/hyperlink" Target="https://leetcode.com/problems/house-robber-ii/" TargetMode="External" Id="rId151"/><Relationship Type="http://schemas.openxmlformats.org/officeDocument/2006/relationships/hyperlink" Target="https://leetcode.com/problems/longest-palindromic-substring/" TargetMode="External" Id="rId152"/><Relationship Type="http://schemas.openxmlformats.org/officeDocument/2006/relationships/hyperlink" Target="https://leetcode.com/problems/palindromic-substrings/" TargetMode="External" Id="rId153"/><Relationship Type="http://schemas.openxmlformats.org/officeDocument/2006/relationships/hyperlink" Target="https://leetcode.com/problems/decode-ways/" TargetMode="External" Id="rId154"/><Relationship Type="http://schemas.openxmlformats.org/officeDocument/2006/relationships/hyperlink" Target="https://leetcode.com/problems/coin-change/" TargetMode="External" Id="rId155"/><Relationship Type="http://schemas.openxmlformats.org/officeDocument/2006/relationships/hyperlink" Target="https://leetcode.com/problems/maximum-product-subarray/" TargetMode="External" Id="rId156"/><Relationship Type="http://schemas.openxmlformats.org/officeDocument/2006/relationships/hyperlink" Target="https://leetcode.com/problems/word-break/" TargetMode="External" Id="rId157"/><Relationship Type="http://schemas.openxmlformats.org/officeDocument/2006/relationships/hyperlink" Target="https://leetcode.com/problems/longest-increasing-subsequence/" TargetMode="External" Id="rId158"/><Relationship Type="http://schemas.openxmlformats.org/officeDocument/2006/relationships/hyperlink" Target="https://leetcode.com/problems/partition-equal-subset-sum/" TargetMode="External" Id="rId159"/><Relationship Type="http://schemas.openxmlformats.org/officeDocument/2006/relationships/hyperlink" Target="https://leetcode.com/problems/fibonacci-number/" TargetMode="External" Id="rId160"/><Relationship Type="http://schemas.openxmlformats.org/officeDocument/2006/relationships/hyperlink" Target="https://leetcode.com/problems/n-th-tribonacci-number/" TargetMode="External" Id="rId161"/><Relationship Type="http://schemas.openxmlformats.org/officeDocument/2006/relationships/hyperlink" Target="https://leetcode.com/problems/pascals-triangle/" TargetMode="External" Id="rId162"/><Relationship Type="http://schemas.openxmlformats.org/officeDocument/2006/relationships/hyperlink" Target="https://leetcode.com/problems/unique-paths/" TargetMode="External" Id="rId163"/><Relationship Type="http://schemas.openxmlformats.org/officeDocument/2006/relationships/hyperlink" Target="https://leetcode.com/problems/longest-common-subsequence/" TargetMode="External" Id="rId164"/><Relationship Type="http://schemas.openxmlformats.org/officeDocument/2006/relationships/hyperlink" Target="https://leetcode.com/problems/best-time-to-buy-and-sell-stock-with-cooldown/" TargetMode="External" Id="rId165"/><Relationship Type="http://schemas.openxmlformats.org/officeDocument/2006/relationships/hyperlink" Target="https://leetcode.com/problems/coin-change-ii/" TargetMode="External" Id="rId166"/><Relationship Type="http://schemas.openxmlformats.org/officeDocument/2006/relationships/hyperlink" Target="https://leetcode.com/problems/target-sum/" TargetMode="External" Id="rId167"/><Relationship Type="http://schemas.openxmlformats.org/officeDocument/2006/relationships/hyperlink" Target="https://leetcode.com/problems/interleaving-string/" TargetMode="External" Id="rId168"/><Relationship Type="http://schemas.openxmlformats.org/officeDocument/2006/relationships/hyperlink" Target="https://leetcode.com/problems/edit-distance/" TargetMode="External" Id="rId169"/><Relationship Type="http://schemas.openxmlformats.org/officeDocument/2006/relationships/hyperlink" Target="https://leetcode.com/problems/minimum-path-sum/" TargetMode="External" Id="rId170"/><Relationship Type="http://schemas.openxmlformats.org/officeDocument/2006/relationships/hyperlink" Target="https://leetcode.com/problems/maximal-square/" TargetMode="External" Id="rId171"/><Relationship Type="http://schemas.openxmlformats.org/officeDocument/2006/relationships/hyperlink" Target="https://leetcode.com/problems/subsets/" TargetMode="External" Id="rId172"/><Relationship Type="http://schemas.openxmlformats.org/officeDocument/2006/relationships/hyperlink" Target="https://leetcode.com/problems/combination-sum/" TargetMode="External" Id="rId173"/><Relationship Type="http://schemas.openxmlformats.org/officeDocument/2006/relationships/hyperlink" Target="https://leetcode.com/problems/permutations/" TargetMode="External" Id="rId174"/><Relationship Type="http://schemas.openxmlformats.org/officeDocument/2006/relationships/hyperlink" Target="https://leetcode.com/problems/subsets-ii/" TargetMode="External" Id="rId175"/><Relationship Type="http://schemas.openxmlformats.org/officeDocument/2006/relationships/hyperlink" Target="https://leetcode.com/problems/combination-sum-ii/" TargetMode="External" Id="rId176"/><Relationship Type="http://schemas.openxmlformats.org/officeDocument/2006/relationships/hyperlink" Target="https://leetcode.com/problems/palindrome-partitioning/" TargetMode="External" Id="rId177"/><Relationship Type="http://schemas.openxmlformats.org/officeDocument/2006/relationships/hyperlink" Target="https://leetcode.com/problems/letter-combinations-of-a-phone-number/" TargetMode="External" Id="rId178"/><Relationship Type="http://schemas.openxmlformats.org/officeDocument/2006/relationships/hyperlink" Target="https://leetcode.com/problems/n-queens/" TargetMode="External" Id="rId179"/><Relationship Type="http://schemas.openxmlformats.org/officeDocument/2006/relationships/hyperlink" Target="https://leetcode.com/problems/combinations/" TargetMode="External" Id="rId180"/><Relationship Type="http://schemas.openxmlformats.org/officeDocument/2006/relationships/hyperlink" Target="https://leetcode.com/problems/assign-cookies/" TargetMode="External" Id="rId181"/><Relationship Type="http://schemas.openxmlformats.org/officeDocument/2006/relationships/hyperlink" Target="https://leetcode.com/problems/lemonade-change/" TargetMode="External" Id="rId182"/><Relationship Type="http://schemas.openxmlformats.org/officeDocument/2006/relationships/hyperlink" Target="https://leetcode.com/problems/best-time-to-buy-and-sell-stock-ii/" TargetMode="External" Id="rId183"/><Relationship Type="http://schemas.openxmlformats.org/officeDocument/2006/relationships/hyperlink" Target="https://leetcode.com/problems/jump-game/" TargetMode="External" Id="rId184"/><Relationship Type="http://schemas.openxmlformats.org/officeDocument/2006/relationships/hyperlink" Target="https://leetcode.com/problems/jump-game-ii/" TargetMode="External" Id="rId185"/><Relationship Type="http://schemas.openxmlformats.org/officeDocument/2006/relationships/hyperlink" Target="https://leetcode.com/problems/gas-station/" TargetMode="External" Id="rId186"/><Relationship Type="http://schemas.openxmlformats.org/officeDocument/2006/relationships/hyperlink" Target="https://leetcode.com/problems/partition-labels/" TargetMode="External" Id="rId187"/><Relationship Type="http://schemas.openxmlformats.org/officeDocument/2006/relationships/hyperlink" Target="https://leetcode.com/problems/hand-of-straights/" TargetMode="External" Id="rId188"/><Relationship Type="http://schemas.openxmlformats.org/officeDocument/2006/relationships/hyperlink" Target="https://leetcode.com/problems/valid-parenthesis-string/" TargetMode="External" Id="rId189"/><Relationship Type="http://schemas.openxmlformats.org/officeDocument/2006/relationships/hyperlink" Target="https://leetcode.com/problems/isomorphic-strings/" TargetMode="External" Id="rId190"/><Relationship Type="http://schemas.openxmlformats.org/officeDocument/2006/relationships/hyperlink" Target="https://leetcode.com/problems/word-pattern/" TargetMode="External" Id="rId191"/><Relationship Type="http://schemas.openxmlformats.org/officeDocument/2006/relationships/hyperlink" Target="https://leetcode.com/problems/determine-if-two-strings-are-close/" TargetMode="External" Id="rId192"/><Relationship Type="http://schemas.openxmlformats.org/officeDocument/2006/relationships/hyperlink" Target="https://leetcode.com/problems/is-graph-bipartite/" TargetMode="External" Id="rId193"/><Relationship Type="http://schemas.openxmlformats.org/officeDocument/2006/relationships/hyperlink" Target="https://leetcode.com/problems/evaluate-division/" TargetMode="External" Id="rId194"/><Relationship Type="http://schemas.openxmlformats.org/officeDocument/2006/relationships/hyperlink" Target="https://leetcode.com/problems/find-eventual-safe-states/" TargetMode="External" Id="rId195"/><Relationship Type="http://schemas.openxmlformats.org/officeDocument/2006/relationships/hyperlink" Target="https://leetcode.com/problems/insert-delete-getrandom-o1/" TargetMode="External" Id="rId196"/><Relationship Type="http://schemas.openxmlformats.org/officeDocument/2006/relationships/hyperlink" Target="https://leetcode.com/problems/design-hashmap/" TargetMode="External" Id="rId197"/><Relationship Type="http://schemas.openxmlformats.org/officeDocument/2006/relationships/hyperlink" Target="https://leetcode.com/problems/design-hashset/" TargetMode="External" Id="rId198"/><Relationship Type="http://schemas.openxmlformats.org/officeDocument/2006/relationships/hyperlink" Target="https://leetcode.com/problems/first-missing-positive/" TargetMode="External" Id="rId199"/><Relationship Type="http://schemas.openxmlformats.org/officeDocument/2006/relationships/hyperlink" Target="https://leetcode.com/problems/spiral-matrix/" TargetMode="External" Id="rId200"/><Relationship Type="http://schemas.openxmlformats.org/officeDocument/2006/relationships/hyperlink" Target="https://leetcode.com/problems/set-matrix-zeroes/" TargetMode="External" Id="rId201"/><Relationship Type="http://schemas.openxmlformats.org/officeDocument/2006/relationships/hyperlink" Target="https://leetcode.com/problems/palindrome-number/" TargetMode="External" Id="rId202"/><Relationship Type="http://schemas.openxmlformats.org/officeDocument/2006/relationships/hyperlink" Target="https://leetcode.com/problems/roman-to-integer/" TargetMode="External" Id="rId203"/><Relationship Type="http://schemas.openxmlformats.org/officeDocument/2006/relationships/hyperlink" Target="https://leetcode.com/problems/length-of-last-word/" TargetMode="External" Id="rId204"/><Relationship Type="http://schemas.openxmlformats.org/officeDocument/2006/relationships/hyperlink" Target="https://leetcode.com/problems/maximum-subarray/" TargetMode="External" Id="rId205"/><Relationship Type="http://schemas.openxmlformats.org/officeDocument/2006/relationships/hyperlink" Target="https://leetcode.com/problems/maximum-sum-circular-subarray/" TargetMode="External" Id="rId206"/><Relationship Type="http://schemas.openxmlformats.org/officeDocument/2006/relationships/hyperlink" Target="https://leetcode.com/problems/longest-subarray-of-1s-after-deleting-one-element/" TargetMode="External" Id="rId207"/><Relationship Type="http://schemas.openxmlformats.org/officeDocument/2006/relationships/hyperlink" Target="https://leetcode.com/problems/string-to-integer-atoi/" TargetMode="External" Id="rId208"/><Relationship Type="http://schemas.openxmlformats.org/officeDocument/2006/relationships/hyperlink" Target="https://leetcode.com/problems/multiply-strings/" TargetMode="External" Id="rId209"/><Relationship Type="http://schemas.openxmlformats.org/officeDocument/2006/relationships/hyperlink" Target="https://leetcode.com/problems/integer-to-roman/" TargetMode="External" Id="rId210"/><Relationship Type="http://schemas.openxmlformats.org/officeDocument/2006/relationships/hyperlink" Target="https://leetcode.com/problems/contains-duplicate-ii/" TargetMode="External" Id="rId211"/><Relationship Type="http://schemas.openxmlformats.org/officeDocument/2006/relationships/hyperlink" Target="https://leetcode.com/problems/summary-ranges/" TargetMode="External" Id="rId212"/><Relationship Type="http://schemas.openxmlformats.org/officeDocument/2006/relationships/hyperlink" Target="https://leetcode.com/problems/unique-number-of-occurrences/" TargetMode="External" Id="rId213"/><Relationship Type="http://schemas.openxmlformats.org/officeDocument/2006/relationships/hyperlink" Target="https://leetcode.com/problems/reorder-routes-to-make-all-paths-lead-to-the-city-zero/" TargetMode="External" Id="rId214"/><Relationship Type="http://schemas.openxmlformats.org/officeDocument/2006/relationships/hyperlink" Target="https://leetcode.com/problems/keys-and-rooms/" TargetMode="External" Id="rId215"/><Relationship Type="http://schemas.openxmlformats.org/officeDocument/2006/relationships/hyperlink" Target="https://leetcode.com/problems/nearest-exit-from-entrance-in-maze/" TargetMode="External" Id="rId216"/><Relationship Type="http://schemas.openxmlformats.org/officeDocument/2006/relationships/hyperlink" Target="https://leetcode.com/problems/merge-strings-alternately/" TargetMode="External" Id="rId217"/><Relationship Type="http://schemas.openxmlformats.org/officeDocument/2006/relationships/hyperlink" Target="https://leetcode.com/problems/greatest-common-divisor-of-strings/" TargetMode="External" Id="rId218"/><Relationship Type="http://schemas.openxmlformats.org/officeDocument/2006/relationships/hyperlink" Target="https://leetcode.com/problems/can-place-flowers/" TargetMode="External" Id="rId219"/><Relationship Type="http://schemas.openxmlformats.org/officeDocument/2006/relationships/hyperlink" Target="https://leetcode.com/problems/kids-with-the-greatest-number-of-candies/" TargetMode="External" Id="rId220"/><Relationship Type="http://schemas.openxmlformats.org/officeDocument/2006/relationships/hyperlink" Target="https://leetcode.com/problems/reverse-vowels-of-a-string/" TargetMode="External" Id="rId221"/><Relationship Type="http://schemas.openxmlformats.org/officeDocument/2006/relationships/hyperlink" Target="https://leetcode.com/problems/reverse-words-in-a-string/" TargetMode="External" Id="rId222"/><Relationship Type="http://schemas.openxmlformats.org/officeDocument/2006/relationships/hyperlink" Target="https://leetcode.com/problems/string-compression/" TargetMode="External" Id="rId223"/><Relationship Type="http://schemas.openxmlformats.org/officeDocument/2006/relationships/hyperlink" Target="https://leetcode.com/problems/max-number-of-k-sum-pairs/" TargetMode="External" Id="rId224"/><Relationship Type="http://schemas.openxmlformats.org/officeDocument/2006/relationships/hyperlink" Target="https://leetcode.com/problems/increasing-triplet-subsequence/" TargetMode="External" Id="rId2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75-Day SDE Plan</t>
        </is>
      </c>
    </row>
    <row r="2">
      <c r="A2" s="2" t="inlineStr">
        <is>
          <t>Mon 28 Sep 2026 → Fri 11 Dec 2026  ·  tick ✓ in the Tracker sheet; everything here updates</t>
        </is>
      </c>
    </row>
    <row r="4">
      <c r="A4" s="3" t="inlineStr">
        <is>
          <t>Overall progress (tasks)</t>
        </is>
      </c>
      <c r="B4" s="4">
        <f>SUM(Tracker!P2:P76)/SUM(Tracker!Q2:Q76)</f>
        <v/>
      </c>
    </row>
    <row r="5">
      <c r="A5" s="3" t="inlineStr">
        <is>
          <t>Days completed</t>
        </is>
      </c>
      <c r="B5" s="5">
        <f>COUNTIF(Tracker!S2:S76,"Completed")</f>
        <v/>
      </c>
    </row>
    <row r="6">
      <c r="A6" s="3" t="inlineStr">
        <is>
          <t>Days partial</t>
        </is>
      </c>
      <c r="B6" s="5">
        <f>COUNTIF(Tracker!S2:S76,"Partial")</f>
        <v/>
      </c>
    </row>
    <row r="7">
      <c r="A7" s="3" t="inlineStr">
        <is>
          <t>Days missed</t>
        </is>
      </c>
      <c r="B7" s="5">
        <f>COUNTIF(Tracker!S2:S76,"Missed")</f>
        <v/>
      </c>
    </row>
    <row r="8">
      <c r="A8" s="3" t="inlineStr">
        <is>
          <t>Today is plan day</t>
        </is>
      </c>
      <c r="B8" s="5">
        <f>IFERROR(MATCH(TODAY(),Tracker!B2:B76,0),"-")</f>
        <v/>
      </c>
    </row>
    <row r="9">
      <c r="A9" s="3" t="inlineStr">
        <is>
          <t>LeetCode solved (of 225)</t>
        </is>
      </c>
      <c r="B9" s="5">
        <f>COUNTIF(LeetCode!G2:G226,"Yes")</f>
        <v/>
      </c>
    </row>
    <row r="10">
      <c r="A10" s="3" t="inlineStr">
        <is>
          <t>LeetCode marked ↻ revisit</t>
        </is>
      </c>
      <c r="B10" s="5">
        <f>COUNTIF(LeetCode!H2:H226,"↻")</f>
        <v/>
      </c>
    </row>
    <row r="11">
      <c r="A11" s="3" t="inlineStr">
        <is>
          <t>HLD reads done</t>
        </is>
      </c>
      <c r="B11" s="5">
        <f>COUNTIF(Tracker!H2:H76,"✓")</f>
        <v/>
      </c>
    </row>
    <row r="12">
      <c r="A12" s="3" t="inlineStr">
        <is>
          <t>LLD builds done</t>
        </is>
      </c>
      <c r="B12" s="5">
        <f>COUNTIF(Tracker!I2:I76,"✓")</f>
        <v/>
      </c>
    </row>
    <row r="13">
      <c r="A13" s="3" t="inlineStr">
        <is>
          <t>Cloud labs done</t>
        </is>
      </c>
      <c r="B13" s="5">
        <f>COUNTIF(Tracker!J2:J76,"✓")</f>
        <v/>
      </c>
    </row>
    <row r="14">
      <c r="A14" s="3" t="inlineStr">
        <is>
          <t>Walk / exercise days</t>
        </is>
      </c>
      <c r="B14" s="5">
        <f>COUNTIF(Tracker!K2:K76,"✓")</f>
        <v/>
      </c>
    </row>
    <row r="15">
      <c r="A15" s="3" t="inlineStr">
        <is>
          <t>Water goal days (2.5 L+)</t>
        </is>
      </c>
      <c r="B15" s="5">
        <f>COUNTIF(Tracker!L2:L76,"&gt;=2.5")</f>
        <v/>
      </c>
    </row>
    <row r="17">
      <c r="A17" s="6" t="inlineStr">
        <is>
          <t>Phase</t>
        </is>
      </c>
      <c r="B17" s="6" t="inlineStr">
        <is>
          <t>Days</t>
        </is>
      </c>
      <c r="C17" s="6" t="inlineStr">
        <is>
          <t>Progress</t>
        </is>
      </c>
      <c r="D17" s="6" t="inlineStr">
        <is>
          <t>Completed days</t>
        </is>
      </c>
    </row>
    <row r="18">
      <c r="A18" t="inlineStr">
        <is>
          <t>1 · Foundations</t>
        </is>
      </c>
      <c r="B18" t="inlineStr">
        <is>
          <t>1–25</t>
        </is>
      </c>
      <c r="C18" s="7">
        <f>SUM(Tracker!P2:P26)/SUM(Tracker!Q2:Q26)</f>
        <v/>
      </c>
      <c r="D18">
        <f>COUNTIF(Tracker!S2:S26,"Completed")</f>
        <v/>
      </c>
    </row>
    <row r="19">
      <c r="A19" t="inlineStr">
        <is>
          <t>2 · Build and apply</t>
        </is>
      </c>
      <c r="B19" t="inlineStr">
        <is>
          <t>26–50</t>
        </is>
      </c>
      <c r="C19" s="7">
        <f>SUM(Tracker!P27:P51)/SUM(Tracker!Q27:Q51)</f>
        <v/>
      </c>
      <c r="D19">
        <f>COUNTIF(Tracker!S27:S51,"Completed")</f>
        <v/>
      </c>
    </row>
    <row r="20">
      <c r="A20" t="inlineStr">
        <is>
          <t>3 · Azure and interview mode</t>
        </is>
      </c>
      <c r="B20" t="inlineStr">
        <is>
          <t>51–75</t>
        </is>
      </c>
      <c r="C20" s="7">
        <f>SUM(Tracker!P52:P76)/SUM(Tracker!Q52:Q76)</f>
        <v/>
      </c>
      <c r="D20">
        <f>COUNTIF(Tracker!S52:S76,"Completed")</f>
        <v/>
      </c>
    </row>
  </sheetData>
  <conditionalFormatting sqref="C18:C20">
    <cfRule type="dataBar" priority="1">
      <dataBar>
        <cfvo type="num" val="0"/>
        <cfvo type="num" val="1"/>
        <color rgb="0015803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30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7" customWidth="1" min="10" max="10"/>
    <col width="6" customWidth="1" min="11" max="11"/>
    <col width="8" customWidth="1" min="12" max="12"/>
    <col width="6" customWidth="1" min="13" max="13"/>
    <col width="6" customWidth="1" min="14" max="14"/>
    <col width="6" customWidth="1" min="15" max="15"/>
    <col width="6" customWidth="1" min="16" max="16"/>
    <col width="5" customWidth="1" min="17" max="17"/>
    <col width="7" customWidth="1" min="18" max="18"/>
    <col width="12" customWidth="1" min="19" max="19"/>
    <col width="30" customWidth="1" min="20" max="20"/>
  </cols>
  <sheetData>
    <row r="1" ht="30" customHeight="1">
      <c r="A1" s="8" t="inlineStr">
        <is>
          <t>Day</t>
        </is>
      </c>
      <c r="B1" s="8" t="inlineStr">
        <is>
          <t>Date</t>
        </is>
      </c>
      <c r="C1" s="8" t="inlineStr">
        <is>
          <t>Type</t>
        </is>
      </c>
      <c r="D1" s="8" t="inlineStr">
        <is>
          <t>Theme</t>
        </is>
      </c>
      <c r="E1" s="8" t="inlineStr">
        <is>
          <t>LC 1</t>
        </is>
      </c>
      <c r="F1" s="8" t="inlineStr">
        <is>
          <t>LC 2</t>
        </is>
      </c>
      <c r="G1" s="8" t="inlineStr">
        <is>
          <t>LC 3</t>
        </is>
      </c>
      <c r="H1" s="8" t="inlineStr">
        <is>
          <t>HLD</t>
        </is>
      </c>
      <c r="I1" s="8" t="inlineStr">
        <is>
          <t>LLD</t>
        </is>
      </c>
      <c r="J1" s="8" t="inlineStr">
        <is>
          <t>Cloud</t>
        </is>
      </c>
      <c r="K1" s="8" t="inlineStr">
        <is>
          <t>Walk</t>
        </is>
      </c>
      <c r="L1" s="8" t="inlineStr">
        <is>
          <t>Water (L)</t>
        </is>
      </c>
      <c r="M1" s="8" t="inlineStr">
        <is>
          <t>Food</t>
        </is>
      </c>
      <c r="N1" s="8" t="inlineStr">
        <is>
          <t>Chill</t>
        </is>
      </c>
      <c r="O1" s="8" t="inlineStr">
        <is>
          <t>Sleep</t>
        </is>
      </c>
      <c r="P1" s="8" t="inlineStr">
        <is>
          <t>Done</t>
        </is>
      </c>
      <c r="Q1" s="8" t="inlineStr">
        <is>
          <t>Of</t>
        </is>
      </c>
      <c r="R1" s="8" t="inlineStr">
        <is>
          <t>%</t>
        </is>
      </c>
      <c r="S1" s="8" t="inlineStr">
        <is>
          <t>Status</t>
        </is>
      </c>
      <c r="T1" s="8" t="inlineStr">
        <is>
          <t>Notes</t>
        </is>
      </c>
    </row>
    <row r="2">
      <c r="A2" s="9" t="n">
        <v>1</v>
      </c>
      <c r="B2" s="10" t="n">
        <v>46293</v>
      </c>
      <c r="C2" s="9" t="inlineStr">
        <is>
          <t>Office day</t>
        </is>
      </c>
      <c r="D2" s="9" t="inlineStr">
        <is>
          <t>How the web works</t>
        </is>
      </c>
      <c r="E2" s="11" t="inlineStr"/>
      <c r="F2" s="11" t="inlineStr"/>
      <c r="G2" s="11" t="inlineStr"/>
      <c r="H2" s="11" t="inlineStr"/>
      <c r="I2" s="11" t="inlineStr"/>
      <c r="J2" s="11" t="inlineStr"/>
      <c r="K2" s="11" t="inlineStr"/>
      <c r="L2" s="11" t="inlineStr"/>
      <c r="M2" s="11" t="inlineStr"/>
      <c r="N2" s="11" t="inlineStr"/>
      <c r="O2" s="11" t="inlineStr"/>
      <c r="P2" s="11">
        <f>COUNTIF(E2:K2,"✓")+COUNTIF(M2:O2,"✓")+IF(N(L2)&gt;=2.5,1,0)</f>
        <v/>
      </c>
      <c r="Q2" s="11" t="n">
        <v>11</v>
      </c>
      <c r="R2" s="12">
        <f>P2/Q2</f>
        <v/>
      </c>
      <c r="S2" s="11">
        <f>IF(P2&gt;=Q2,"Completed",IF(B2=TODAY(),"Today",IF(P2&gt;0,"Partial",IF(B2&gt;TODAY(),"Upcoming","Missed"))))</f>
        <v/>
      </c>
      <c r="T2" s="9" t="n"/>
    </row>
    <row r="3">
      <c r="A3" s="9" t="n">
        <v>2</v>
      </c>
      <c r="B3" s="10" t="n">
        <v>46294</v>
      </c>
      <c r="C3" s="9" t="inlineStr">
        <is>
          <t>Office day</t>
        </is>
      </c>
      <c r="D3" s="9" t="inlineStr">
        <is>
          <t>Scaling a server</t>
        </is>
      </c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1" t="inlineStr"/>
      <c r="M3" s="11" t="inlineStr"/>
      <c r="N3" s="11" t="inlineStr"/>
      <c r="O3" s="11" t="inlineStr"/>
      <c r="P3" s="11">
        <f>COUNTIF(E3:K3,"✓")+COUNTIF(M3:O3,"✓")+IF(N(L3)&gt;=2.5,1,0)</f>
        <v/>
      </c>
      <c r="Q3" s="11" t="n">
        <v>11</v>
      </c>
      <c r="R3" s="12">
        <f>P3/Q3</f>
        <v/>
      </c>
      <c r="S3" s="11">
        <f>IF(P3&gt;=Q3,"Completed",IF(B3=TODAY(),"Today",IF(P3&gt;0,"Partial",IF(B3&gt;TODAY(),"Upcoming","Missed"))))</f>
        <v/>
      </c>
      <c r="T3" s="9" t="n"/>
    </row>
    <row r="4">
      <c r="A4" s="9" t="n">
        <v>3</v>
      </c>
      <c r="B4" s="10" t="n">
        <v>46295</v>
      </c>
      <c r="C4" s="9" t="inlineStr">
        <is>
          <t>Office day</t>
        </is>
      </c>
      <c r="D4" s="9" t="inlineStr">
        <is>
          <t>Load balancing</t>
        </is>
      </c>
      <c r="E4" s="11" t="inlineStr"/>
      <c r="F4" s="11" t="inlineStr"/>
      <c r="G4" s="11" t="inlineStr"/>
      <c r="H4" s="11" t="inlineStr"/>
      <c r="I4" s="11" t="inlineStr"/>
      <c r="J4" s="11" t="inlineStr"/>
      <c r="K4" s="11" t="inlineStr"/>
      <c r="L4" s="11" t="inlineStr"/>
      <c r="M4" s="11" t="inlineStr"/>
      <c r="N4" s="11" t="inlineStr"/>
      <c r="O4" s="11" t="inlineStr"/>
      <c r="P4" s="11">
        <f>COUNTIF(E4:K4,"✓")+COUNTIF(M4:O4,"✓")+IF(N(L4)&gt;=2.5,1,0)</f>
        <v/>
      </c>
      <c r="Q4" s="11" t="n">
        <v>11</v>
      </c>
      <c r="R4" s="12">
        <f>P4/Q4</f>
        <v/>
      </c>
      <c r="S4" s="11">
        <f>IF(P4&gt;=Q4,"Completed",IF(B4=TODAY(),"Today",IF(P4&gt;0,"Partial",IF(B4&gt;TODAY(),"Upcoming","Missed"))))</f>
        <v/>
      </c>
      <c r="T4" s="9" t="n"/>
    </row>
    <row r="5">
      <c r="A5" s="9" t="n">
        <v>4</v>
      </c>
      <c r="B5" s="10" t="n">
        <v>46296</v>
      </c>
      <c r="C5" s="9" t="inlineStr">
        <is>
          <t>Office day</t>
        </is>
      </c>
      <c r="D5" s="9" t="inlineStr">
        <is>
          <t>Stateless services</t>
        </is>
      </c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>
        <f>COUNTIF(E5:K5,"✓")+COUNTIF(M5:O5,"✓")+IF(N(L5)&gt;=2.5,1,0)</f>
        <v/>
      </c>
      <c r="Q5" s="11" t="n">
        <v>11</v>
      </c>
      <c r="R5" s="12">
        <f>P5/Q5</f>
        <v/>
      </c>
      <c r="S5" s="11">
        <f>IF(P5&gt;=Q5,"Completed",IF(B5=TODAY(),"Today",IF(P5&gt;0,"Partial",IF(B5&gt;TODAY(),"Upcoming","Missed"))))</f>
        <v/>
      </c>
      <c r="T5" s="9" t="n"/>
    </row>
    <row r="6">
      <c r="A6" s="9" t="n">
        <v>5</v>
      </c>
      <c r="B6" s="10" t="n">
        <v>46297</v>
      </c>
      <c r="C6" s="9" t="inlineStr">
        <is>
          <t>Light Friday</t>
        </is>
      </c>
      <c r="D6" s="9" t="inlineStr">
        <is>
          <t>APIs</t>
        </is>
      </c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>
        <f>COUNTIF(E6:K6,"✓")+COUNTIF(M6:O6,"✓")+IF(N(L6)&gt;=2.5,1,0)</f>
        <v/>
      </c>
      <c r="Q6" s="11" t="n">
        <v>11</v>
      </c>
      <c r="R6" s="12">
        <f>P6/Q6</f>
        <v/>
      </c>
      <c r="S6" s="11">
        <f>IF(P6&gt;=Q6,"Completed",IF(B6=TODAY(),"Today",IF(P6&gt;0,"Partial",IF(B6&gt;TODAY(),"Upcoming","Missed"))))</f>
        <v/>
      </c>
      <c r="T6" s="9" t="n"/>
    </row>
    <row r="7">
      <c r="A7" s="9" t="n">
        <v>6</v>
      </c>
      <c r="B7" s="10" t="n">
        <v>46298</v>
      </c>
      <c r="C7" s="9" t="inlineStr">
        <is>
          <t>Build Saturday</t>
        </is>
      </c>
      <c r="D7" s="9" t="inlineStr">
        <is>
          <t>Build: 3-tier app</t>
        </is>
      </c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>
        <f>COUNTIF(E7:K7,"✓")+COUNTIF(M7:O7,"✓")+IF(N(L7)&gt;=2.5,1,0)</f>
        <v/>
      </c>
      <c r="Q7" s="11" t="n">
        <v>11</v>
      </c>
      <c r="R7" s="12">
        <f>P7/Q7</f>
        <v/>
      </c>
      <c r="S7" s="11">
        <f>IF(P7&gt;=Q7,"Completed",IF(B7=TODAY(),"Today",IF(P7&gt;0,"Partial",IF(B7&gt;TODAY(),"Upcoming","Missed"))))</f>
        <v/>
      </c>
      <c r="T7" s="9" t="n"/>
    </row>
    <row r="8">
      <c r="A8" s="9" t="n">
        <v>7</v>
      </c>
      <c r="B8" s="10" t="n">
        <v>46299</v>
      </c>
      <c r="C8" s="9" t="inlineStr">
        <is>
          <t>Review Sunday</t>
        </is>
      </c>
      <c r="D8" s="9" t="inlineStr">
        <is>
          <t>Review week 1</t>
        </is>
      </c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>
        <f>COUNTIF(E8:K8,"✓")+COUNTIF(M8:O8,"✓")+IF(N(L8)&gt;=2.5,1,0)</f>
        <v/>
      </c>
      <c r="Q8" s="11" t="n">
        <v>11</v>
      </c>
      <c r="R8" s="12">
        <f>P8/Q8</f>
        <v/>
      </c>
      <c r="S8" s="11">
        <f>IF(P8&gt;=Q8,"Completed",IF(B8=TODAY(),"Today",IF(P8&gt;0,"Partial",IF(B8&gt;TODAY(),"Upcoming","Missed"))))</f>
        <v/>
      </c>
      <c r="T8" s="9" t="n"/>
    </row>
    <row r="9">
      <c r="A9" s="9" t="n">
        <v>8</v>
      </c>
      <c r="B9" s="10" t="n">
        <v>46300</v>
      </c>
      <c r="C9" s="9" t="inlineStr">
        <is>
          <t>Office day</t>
        </is>
      </c>
      <c r="D9" s="9" t="inlineStr">
        <is>
          <t>Databases 101</t>
        </is>
      </c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>
        <f>COUNTIF(E9:K9,"✓")+COUNTIF(M9:O9,"✓")+IF(N(L9)&gt;=2.5,1,0)</f>
        <v/>
      </c>
      <c r="Q9" s="11" t="n">
        <v>11</v>
      </c>
      <c r="R9" s="12">
        <f>P9/Q9</f>
        <v/>
      </c>
      <c r="S9" s="11">
        <f>IF(P9&gt;=Q9,"Completed",IF(B9=TODAY(),"Today",IF(P9&gt;0,"Partial",IF(B9&gt;TODAY(),"Upcoming","Missed"))))</f>
        <v/>
      </c>
      <c r="T9" s="9" t="n"/>
    </row>
    <row r="10">
      <c r="A10" s="9" t="n">
        <v>9</v>
      </c>
      <c r="B10" s="10" t="n">
        <v>46301</v>
      </c>
      <c r="C10" s="9" t="inlineStr">
        <is>
          <t>Office day</t>
        </is>
      </c>
      <c r="D10" s="9" t="inlineStr">
        <is>
          <t>Indexing</t>
        </is>
      </c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>
        <f>COUNTIF(E10:K10,"✓")+COUNTIF(M10:O10,"✓")+IF(N(L10)&gt;=2.5,1,0)</f>
        <v/>
      </c>
      <c r="Q10" s="11" t="n">
        <v>11</v>
      </c>
      <c r="R10" s="12">
        <f>P10/Q10</f>
        <v/>
      </c>
      <c r="S10" s="11">
        <f>IF(P10&gt;=Q10,"Completed",IF(B10=TODAY(),"Today",IF(P10&gt;0,"Partial",IF(B10&gt;TODAY(),"Upcoming","Missed"))))</f>
        <v/>
      </c>
      <c r="T10" s="9" t="n"/>
    </row>
    <row r="11">
      <c r="A11" s="9" t="n">
        <v>10</v>
      </c>
      <c r="B11" s="10" t="n">
        <v>46302</v>
      </c>
      <c r="C11" s="9" t="inlineStr">
        <is>
          <t>Office day</t>
        </is>
      </c>
      <c r="D11" s="9" t="inlineStr">
        <is>
          <t>Replication</t>
        </is>
      </c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>
        <f>COUNTIF(E11:K11,"✓")+COUNTIF(M11:O11,"✓")+IF(N(L11)&gt;=2.5,1,0)</f>
        <v/>
      </c>
      <c r="Q11" s="11" t="n">
        <v>11</v>
      </c>
      <c r="R11" s="12">
        <f>P11/Q11</f>
        <v/>
      </c>
      <c r="S11" s="11">
        <f>IF(P11&gt;=Q11,"Completed",IF(B11=TODAY(),"Today",IF(P11&gt;0,"Partial",IF(B11&gt;TODAY(),"Upcoming","Missed"))))</f>
        <v/>
      </c>
      <c r="T11" s="9" t="n"/>
    </row>
    <row r="12">
      <c r="A12" s="9" t="n">
        <v>11</v>
      </c>
      <c r="B12" s="10" t="n">
        <v>46303</v>
      </c>
      <c r="C12" s="9" t="inlineStr">
        <is>
          <t>Office day</t>
        </is>
      </c>
      <c r="D12" s="9" t="inlineStr">
        <is>
          <t>Sharding</t>
        </is>
      </c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>
        <f>COUNTIF(E12:K12,"✓")+COUNTIF(M12:O12,"✓")+IF(N(L12)&gt;=2.5,1,0)</f>
        <v/>
      </c>
      <c r="Q12" s="11" t="n">
        <v>11</v>
      </c>
      <c r="R12" s="12">
        <f>P12/Q12</f>
        <v/>
      </c>
      <c r="S12" s="11">
        <f>IF(P12&gt;=Q12,"Completed",IF(B12=TODAY(),"Today",IF(P12&gt;0,"Partial",IF(B12&gt;TODAY(),"Upcoming","Missed"))))</f>
        <v/>
      </c>
      <c r="T12" s="9" t="n"/>
    </row>
    <row r="13">
      <c r="A13" s="9" t="n">
        <v>12</v>
      </c>
      <c r="B13" s="10" t="n">
        <v>46304</v>
      </c>
      <c r="C13" s="9" t="inlineStr">
        <is>
          <t>Light Friday</t>
        </is>
      </c>
      <c r="D13" s="9" t="inlineStr">
        <is>
          <t>Transactions</t>
        </is>
      </c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>
        <f>COUNTIF(E13:K13,"✓")+COUNTIF(M13:O13,"✓")+IF(N(L13)&gt;=2.5,1,0)</f>
        <v/>
      </c>
      <c r="Q13" s="11" t="n">
        <v>11</v>
      </c>
      <c r="R13" s="12">
        <f>P13/Q13</f>
        <v/>
      </c>
      <c r="S13" s="11">
        <f>IF(P13&gt;=Q13,"Completed",IF(B13=TODAY(),"Today",IF(P13&gt;0,"Partial",IF(B13&gt;TODAY(),"Upcoming","Missed"))))</f>
        <v/>
      </c>
      <c r="T13" s="9" t="n"/>
    </row>
    <row r="14">
      <c r="A14" s="9" t="n">
        <v>13</v>
      </c>
      <c r="B14" s="10" t="n">
        <v>46305</v>
      </c>
      <c r="C14" s="9" t="inlineStr">
        <is>
          <t>Build Saturday</t>
        </is>
      </c>
      <c r="D14" s="9" t="inlineStr">
        <is>
          <t>Build: library system</t>
        </is>
      </c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>
        <f>COUNTIF(E14:K14,"✓")+COUNTIF(M14:O14,"✓")+IF(N(L14)&gt;=2.5,1,0)</f>
        <v/>
      </c>
      <c r="Q14" s="11" t="n">
        <v>11</v>
      </c>
      <c r="R14" s="12">
        <f>P14/Q14</f>
        <v/>
      </c>
      <c r="S14" s="11">
        <f>IF(P14&gt;=Q14,"Completed",IF(B14=TODAY(),"Today",IF(P14&gt;0,"Partial",IF(B14&gt;TODAY(),"Upcoming","Missed"))))</f>
        <v/>
      </c>
      <c r="T14" s="9" t="n"/>
    </row>
    <row r="15">
      <c r="A15" s="9" t="n">
        <v>14</v>
      </c>
      <c r="B15" s="10" t="n">
        <v>46306</v>
      </c>
      <c r="C15" s="9" t="inlineStr">
        <is>
          <t>Review Sunday</t>
        </is>
      </c>
      <c r="D15" s="9" t="inlineStr">
        <is>
          <t>Review week 2</t>
        </is>
      </c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>
        <f>COUNTIF(E15:K15,"✓")+COUNTIF(M15:O15,"✓")+IF(N(L15)&gt;=2.5,1,0)</f>
        <v/>
      </c>
      <c r="Q15" s="11" t="n">
        <v>11</v>
      </c>
      <c r="R15" s="12">
        <f>P15/Q15</f>
        <v/>
      </c>
      <c r="S15" s="11">
        <f>IF(P15&gt;=Q15,"Completed",IF(B15=TODAY(),"Today",IF(P15&gt;0,"Partial",IF(B15&gt;TODAY(),"Upcoming","Missed"))))</f>
        <v/>
      </c>
      <c r="T15" s="9" t="n"/>
    </row>
    <row r="16">
      <c r="A16" s="9" t="n">
        <v>15</v>
      </c>
      <c r="B16" s="10" t="n">
        <v>46307</v>
      </c>
      <c r="C16" s="9" t="inlineStr">
        <is>
          <t>Office day</t>
        </is>
      </c>
      <c r="D16" s="9" t="inlineStr">
        <is>
          <t>Caching</t>
        </is>
      </c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>
        <f>COUNTIF(E16:K16,"✓")+COUNTIF(M16:O16,"✓")+IF(N(L16)&gt;=2.5,1,0)</f>
        <v/>
      </c>
      <c r="Q16" s="11" t="n">
        <v>11</v>
      </c>
      <c r="R16" s="12">
        <f>P16/Q16</f>
        <v/>
      </c>
      <c r="S16" s="11">
        <f>IF(P16&gt;=Q16,"Completed",IF(B16=TODAY(),"Today",IF(P16&gt;0,"Partial",IF(B16&gt;TODAY(),"Upcoming","Missed"))))</f>
        <v/>
      </c>
      <c r="T16" s="9" t="n"/>
    </row>
    <row r="17">
      <c r="A17" s="9" t="n">
        <v>16</v>
      </c>
      <c r="B17" s="10" t="n">
        <v>46308</v>
      </c>
      <c r="C17" s="9" t="inlineStr">
        <is>
          <t>Office day</t>
        </is>
      </c>
      <c r="D17" s="9" t="inlineStr">
        <is>
          <t>Cache strategies</t>
        </is>
      </c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>
        <f>COUNTIF(E17:K17,"✓")+COUNTIF(M17:O17,"✓")+IF(N(L17)&gt;=2.5,1,0)</f>
        <v/>
      </c>
      <c r="Q17" s="11" t="n">
        <v>11</v>
      </c>
      <c r="R17" s="12">
        <f>P17/Q17</f>
        <v/>
      </c>
      <c r="S17" s="11">
        <f>IF(P17&gt;=Q17,"Completed",IF(B17=TODAY(),"Today",IF(P17&gt;0,"Partial",IF(B17&gt;TODAY(),"Upcoming","Missed"))))</f>
        <v/>
      </c>
      <c r="T17" s="9" t="n"/>
    </row>
    <row r="18">
      <c r="A18" s="9" t="n">
        <v>17</v>
      </c>
      <c r="B18" s="10" t="n">
        <v>46309</v>
      </c>
      <c r="C18" s="9" t="inlineStr">
        <is>
          <t>Office day</t>
        </is>
      </c>
      <c r="D18" s="9" t="inlineStr">
        <is>
          <t>CDN</t>
        </is>
      </c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>
        <f>COUNTIF(E18:K18,"✓")+COUNTIF(M18:O18,"✓")+IF(N(L18)&gt;=2.5,1,0)</f>
        <v/>
      </c>
      <c r="Q18" s="11" t="n">
        <v>11</v>
      </c>
      <c r="R18" s="12">
        <f>P18/Q18</f>
        <v/>
      </c>
      <c r="S18" s="11">
        <f>IF(P18&gt;=Q18,"Completed",IF(B18=TODAY(),"Today",IF(P18&gt;0,"Partial",IF(B18&gt;TODAY(),"Upcoming","Missed"))))</f>
        <v/>
      </c>
      <c r="T18" s="9" t="n"/>
    </row>
    <row r="19">
      <c r="A19" s="9" t="n">
        <v>18</v>
      </c>
      <c r="B19" s="10" t="n">
        <v>46310</v>
      </c>
      <c r="C19" s="9" t="inlineStr">
        <is>
          <t>Office day</t>
        </is>
      </c>
      <c r="D19" s="9" t="inlineStr">
        <is>
          <t>Consistency</t>
        </is>
      </c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>
        <f>COUNTIF(E19:K19,"✓")+COUNTIF(M19:O19,"✓")+IF(N(L19)&gt;=2.5,1,0)</f>
        <v/>
      </c>
      <c r="Q19" s="11" t="n">
        <v>11</v>
      </c>
      <c r="R19" s="12">
        <f>P19/Q19</f>
        <v/>
      </c>
      <c r="S19" s="11">
        <f>IF(P19&gt;=Q19,"Completed",IF(B19=TODAY(),"Today",IF(P19&gt;0,"Partial",IF(B19&gt;TODAY(),"Upcoming","Missed"))))</f>
        <v/>
      </c>
      <c r="T19" s="9" t="n"/>
    </row>
    <row r="20">
      <c r="A20" s="9" t="n">
        <v>19</v>
      </c>
      <c r="B20" s="10" t="n">
        <v>46311</v>
      </c>
      <c r="C20" s="9" t="inlineStr">
        <is>
          <t>Light Friday</t>
        </is>
      </c>
      <c r="D20" s="9" t="inlineStr">
        <is>
          <t>Rate limiting</t>
        </is>
      </c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>
        <f>COUNTIF(E20:K20,"✓")+COUNTIF(M20:O20,"✓")+IF(N(L20)&gt;=2.5,1,0)</f>
        <v/>
      </c>
      <c r="Q20" s="11" t="n">
        <v>11</v>
      </c>
      <c r="R20" s="12">
        <f>P20/Q20</f>
        <v/>
      </c>
      <c r="S20" s="11">
        <f>IF(P20&gt;=Q20,"Completed",IF(B20=TODAY(),"Today",IF(P20&gt;0,"Partial",IF(B20&gt;TODAY(),"Upcoming","Missed"))))</f>
        <v/>
      </c>
      <c r="T20" s="9" t="n"/>
    </row>
    <row r="21">
      <c r="A21" s="9" t="n">
        <v>20</v>
      </c>
      <c r="B21" s="10" t="n">
        <v>46312</v>
      </c>
      <c r="C21" s="9" t="inlineStr">
        <is>
          <t>Build Saturday</t>
        </is>
      </c>
      <c r="D21" s="9" t="inlineStr">
        <is>
          <t>Build: rate limiter</t>
        </is>
      </c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>
        <f>COUNTIF(E21:K21,"✓")+COUNTIF(M21:O21,"✓")+IF(N(L21)&gt;=2.5,1,0)</f>
        <v/>
      </c>
      <c r="Q21" s="11" t="n">
        <v>11</v>
      </c>
      <c r="R21" s="12">
        <f>P21/Q21</f>
        <v/>
      </c>
      <c r="S21" s="11">
        <f>IF(P21&gt;=Q21,"Completed",IF(B21=TODAY(),"Today",IF(P21&gt;0,"Partial",IF(B21&gt;TODAY(),"Upcoming","Missed"))))</f>
        <v/>
      </c>
      <c r="T21" s="9" t="n"/>
    </row>
    <row r="22">
      <c r="A22" s="9" t="n">
        <v>21</v>
      </c>
      <c r="B22" s="10" t="n">
        <v>46313</v>
      </c>
      <c r="C22" s="9" t="inlineStr">
        <is>
          <t>Review Sunday</t>
        </is>
      </c>
      <c r="D22" s="9" t="inlineStr">
        <is>
          <t>Review week 3</t>
        </is>
      </c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>
        <f>COUNTIF(E22:K22,"✓")+COUNTIF(M22:O22,"✓")+IF(N(L22)&gt;=2.5,1,0)</f>
        <v/>
      </c>
      <c r="Q22" s="11" t="n">
        <v>11</v>
      </c>
      <c r="R22" s="12">
        <f>P22/Q22</f>
        <v/>
      </c>
      <c r="S22" s="11">
        <f>IF(P22&gt;=Q22,"Completed",IF(B22=TODAY(),"Today",IF(P22&gt;0,"Partial",IF(B22&gt;TODAY(),"Upcoming","Missed"))))</f>
        <v/>
      </c>
      <c r="T22" s="9" t="n"/>
    </row>
    <row r="23">
      <c r="A23" s="9" t="n">
        <v>22</v>
      </c>
      <c r="B23" s="10" t="n">
        <v>46314</v>
      </c>
      <c r="C23" s="9" t="inlineStr">
        <is>
          <t>Office day</t>
        </is>
      </c>
      <c r="D23" s="9" t="inlineStr">
        <is>
          <t>Async processing</t>
        </is>
      </c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>
        <f>COUNTIF(E23:K23,"✓")+COUNTIF(M23:O23,"✓")+IF(N(L23)&gt;=2.5,1,0)</f>
        <v/>
      </c>
      <c r="Q23" s="11" t="n">
        <v>11</v>
      </c>
      <c r="R23" s="12">
        <f>P23/Q23</f>
        <v/>
      </c>
      <c r="S23" s="11">
        <f>IF(P23&gt;=Q23,"Completed",IF(B23=TODAY(),"Today",IF(P23&gt;0,"Partial",IF(B23&gt;TODAY(),"Upcoming","Missed"))))</f>
        <v/>
      </c>
      <c r="T23" s="9" t="n"/>
    </row>
    <row r="24">
      <c r="A24" s="9" t="n">
        <v>23</v>
      </c>
      <c r="B24" s="10" t="n">
        <v>46315</v>
      </c>
      <c r="C24" s="9" t="inlineStr">
        <is>
          <t>Office day</t>
        </is>
      </c>
      <c r="D24" s="9" t="inlineStr">
        <is>
          <t>Pub/sub</t>
        </is>
      </c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>
        <f>COUNTIF(E24:K24,"✓")+COUNTIF(M24:O24,"✓")+IF(N(L24)&gt;=2.5,1,0)</f>
        <v/>
      </c>
      <c r="Q24" s="11" t="n">
        <v>11</v>
      </c>
      <c r="R24" s="12">
        <f>P24/Q24</f>
        <v/>
      </c>
      <c r="S24" s="11">
        <f>IF(P24&gt;=Q24,"Completed",IF(B24=TODAY(),"Today",IF(P24&gt;0,"Partial",IF(B24&gt;TODAY(),"Upcoming","Missed"))))</f>
        <v/>
      </c>
      <c r="T24" s="9" t="n"/>
    </row>
    <row r="25">
      <c r="A25" s="9" t="n">
        <v>24</v>
      </c>
      <c r="B25" s="10" t="n">
        <v>46316</v>
      </c>
      <c r="C25" s="9" t="inlineStr">
        <is>
          <t>Office day</t>
        </is>
      </c>
      <c r="D25" s="9" t="inlineStr">
        <is>
          <t>Delivery guarantees</t>
        </is>
      </c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  <c r="P25" s="11">
        <f>COUNTIF(E25:K25,"✓")+COUNTIF(M25:O25,"✓")+IF(N(L25)&gt;=2.5,1,0)</f>
        <v/>
      </c>
      <c r="Q25" s="11" t="n">
        <v>11</v>
      </c>
      <c r="R25" s="12">
        <f>P25/Q25</f>
        <v/>
      </c>
      <c r="S25" s="11">
        <f>IF(P25&gt;=Q25,"Completed",IF(B25=TODAY(),"Today",IF(P25&gt;0,"Partial",IF(B25&gt;TODAY(),"Upcoming","Missed"))))</f>
        <v/>
      </c>
      <c r="T25" s="9" t="n"/>
    </row>
    <row r="26">
      <c r="A26" s="9" t="n">
        <v>25</v>
      </c>
      <c r="B26" s="10" t="n">
        <v>46317</v>
      </c>
      <c r="C26" s="9" t="inlineStr">
        <is>
          <t>Office day</t>
        </is>
      </c>
      <c r="D26" s="9" t="inlineStr">
        <is>
          <t>Phase 1 checkpoint</t>
        </is>
      </c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  <c r="N26" s="11" t="inlineStr"/>
      <c r="O26" s="11" t="inlineStr"/>
      <c r="P26" s="11">
        <f>COUNTIF(E26:K26,"✓")+COUNTIF(M26:O26,"✓")+IF(N(L26)&gt;=2.5,1,0)</f>
        <v/>
      </c>
      <c r="Q26" s="11" t="n">
        <v>11</v>
      </c>
      <c r="R26" s="12">
        <f>P26/Q26</f>
        <v/>
      </c>
      <c r="S26" s="11">
        <f>IF(P26&gt;=Q26,"Completed",IF(B26=TODAY(),"Today",IF(P26&gt;0,"Partial",IF(B26&gt;TODAY(),"Upcoming","Missed"))))</f>
        <v/>
      </c>
      <c r="T26" s="9" t="n"/>
    </row>
    <row r="27">
      <c r="A27" s="9" t="n">
        <v>26</v>
      </c>
      <c r="B27" s="10" t="n">
        <v>46318</v>
      </c>
      <c r="C27" s="9" t="inlineStr">
        <is>
          <t>Light Friday</t>
        </is>
      </c>
      <c r="D27" s="9" t="inlineStr">
        <is>
          <t>Serverless</t>
        </is>
      </c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  <c r="P27" s="11">
        <f>COUNTIF(E27:K27,"✓")+COUNTIF(M27:O27,"✓")+IF(N(L27)&gt;=2.5,1,0)</f>
        <v/>
      </c>
      <c r="Q27" s="11" t="n">
        <v>11</v>
      </c>
      <c r="R27" s="12">
        <f>P27/Q27</f>
        <v/>
      </c>
      <c r="S27" s="11">
        <f>IF(P27&gt;=Q27,"Completed",IF(B27=TODAY(),"Today",IF(P27&gt;0,"Partial",IF(B27&gt;TODAY(),"Upcoming","Missed"))))</f>
        <v/>
      </c>
      <c r="T27" s="9" t="n"/>
    </row>
    <row r="28">
      <c r="A28" s="9" t="n">
        <v>27</v>
      </c>
      <c r="B28" s="10" t="n">
        <v>46319</v>
      </c>
      <c r="C28" s="9" t="inlineStr">
        <is>
          <t>Build Saturday</t>
        </is>
      </c>
      <c r="D28" s="9" t="inlineStr">
        <is>
          <t>Build: image pipeline</t>
        </is>
      </c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  <c r="N28" s="11" t="inlineStr"/>
      <c r="O28" s="11" t="inlineStr"/>
      <c r="P28" s="11">
        <f>COUNTIF(E28:K28,"✓")+COUNTIF(M28:O28,"✓")+IF(N(L28)&gt;=2.5,1,0)</f>
        <v/>
      </c>
      <c r="Q28" s="11" t="n">
        <v>11</v>
      </c>
      <c r="R28" s="12">
        <f>P28/Q28</f>
        <v/>
      </c>
      <c r="S28" s="11">
        <f>IF(P28&gt;=Q28,"Completed",IF(B28=TODAY(),"Today",IF(P28&gt;0,"Partial",IF(B28&gt;TODAY(),"Upcoming","Missed"))))</f>
        <v/>
      </c>
      <c r="T28" s="9" t="n"/>
    </row>
    <row r="29">
      <c r="A29" s="9" t="n">
        <v>28</v>
      </c>
      <c r="B29" s="10" t="n">
        <v>46320</v>
      </c>
      <c r="C29" s="9" t="inlineStr">
        <is>
          <t>Review Sunday</t>
        </is>
      </c>
      <c r="D29" s="9" t="inlineStr">
        <is>
          <t>Review week 4</t>
        </is>
      </c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  <c r="P29" s="11">
        <f>COUNTIF(E29:K29,"✓")+COUNTIF(M29:O29,"✓")+IF(N(L29)&gt;=2.5,1,0)</f>
        <v/>
      </c>
      <c r="Q29" s="11" t="n">
        <v>11</v>
      </c>
      <c r="R29" s="12">
        <f>P29/Q29</f>
        <v/>
      </c>
      <c r="S29" s="11">
        <f>IF(P29&gt;=Q29,"Completed",IF(B29=TODAY(),"Today",IF(P29&gt;0,"Partial",IF(B29&gt;TODAY(),"Upcoming","Missed"))))</f>
        <v/>
      </c>
      <c r="T29" s="9" t="n"/>
    </row>
    <row r="30">
      <c r="A30" s="9" t="n">
        <v>29</v>
      </c>
      <c r="B30" s="10" t="n">
        <v>46321</v>
      </c>
      <c r="C30" s="9" t="inlineStr">
        <is>
          <t>Office day</t>
        </is>
      </c>
      <c r="D30" s="9" t="inlineStr">
        <is>
          <t>API gateway</t>
        </is>
      </c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11">
        <f>COUNTIF(E30:K30,"✓")+COUNTIF(M30:O30,"✓")+IF(N(L30)&gt;=2.5,1,0)</f>
        <v/>
      </c>
      <c r="Q30" s="11" t="n">
        <v>11</v>
      </c>
      <c r="R30" s="12">
        <f>P30/Q30</f>
        <v/>
      </c>
      <c r="S30" s="11">
        <f>IF(P30&gt;=Q30,"Completed",IF(B30=TODAY(),"Today",IF(P30&gt;0,"Partial",IF(B30&gt;TODAY(),"Upcoming","Missed"))))</f>
        <v/>
      </c>
      <c r="T30" s="9" t="n"/>
    </row>
    <row r="31">
      <c r="A31" s="9" t="n">
        <v>30</v>
      </c>
      <c r="B31" s="10" t="n">
        <v>46322</v>
      </c>
      <c r="C31" s="9" t="inlineStr">
        <is>
          <t>Office day</t>
        </is>
      </c>
      <c r="D31" s="9" t="inlineStr">
        <is>
          <t>Microservices</t>
        </is>
      </c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  <c r="N31" s="11" t="inlineStr"/>
      <c r="O31" s="11" t="inlineStr"/>
      <c r="P31" s="11">
        <f>COUNTIF(E31:K31,"✓")+COUNTIF(M31:O31,"✓")+IF(N(L31)&gt;=2.5,1,0)</f>
        <v/>
      </c>
      <c r="Q31" s="11" t="n">
        <v>11</v>
      </c>
      <c r="R31" s="12">
        <f>P31/Q31</f>
        <v/>
      </c>
      <c r="S31" s="11">
        <f>IF(P31&gt;=Q31,"Completed",IF(B31=TODAY(),"Today",IF(P31&gt;0,"Partial",IF(B31&gt;TODAY(),"Upcoming","Missed"))))</f>
        <v/>
      </c>
      <c r="T31" s="9" t="n"/>
    </row>
    <row r="32">
      <c r="A32" s="9" t="n">
        <v>31</v>
      </c>
      <c r="B32" s="10" t="n">
        <v>46323</v>
      </c>
      <c r="C32" s="9" t="inlineStr">
        <is>
          <t>Office day</t>
        </is>
      </c>
      <c r="D32" s="9" t="inlineStr">
        <is>
          <t>Containers</t>
        </is>
      </c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>
        <f>COUNTIF(E32:K32,"✓")+COUNTIF(M32:O32,"✓")+IF(N(L32)&gt;=2.5,1,0)</f>
        <v/>
      </c>
      <c r="Q32" s="11" t="n">
        <v>11</v>
      </c>
      <c r="R32" s="12">
        <f>P32/Q32</f>
        <v/>
      </c>
      <c r="S32" s="11">
        <f>IF(P32&gt;=Q32,"Completed",IF(B32=TODAY(),"Today",IF(P32&gt;0,"Partial",IF(B32&gt;TODAY(),"Upcoming","Missed"))))</f>
        <v/>
      </c>
      <c r="T32" s="9" t="n"/>
    </row>
    <row r="33">
      <c r="A33" s="9" t="n">
        <v>32</v>
      </c>
      <c r="B33" s="10" t="n">
        <v>46324</v>
      </c>
      <c r="C33" s="9" t="inlineStr">
        <is>
          <t>Office day</t>
        </is>
      </c>
      <c r="D33" s="9" t="inlineStr">
        <is>
          <t>Auth</t>
        </is>
      </c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  <c r="N33" s="11" t="inlineStr"/>
      <c r="O33" s="11" t="inlineStr"/>
      <c r="P33" s="11">
        <f>COUNTIF(E33:K33,"✓")+COUNTIF(M33:O33,"✓")+IF(N(L33)&gt;=2.5,1,0)</f>
        <v/>
      </c>
      <c r="Q33" s="11" t="n">
        <v>11</v>
      </c>
      <c r="R33" s="12">
        <f>P33/Q33</f>
        <v/>
      </c>
      <c r="S33" s="11">
        <f>IF(P33&gt;=Q33,"Completed",IF(B33=TODAY(),"Today",IF(P33&gt;0,"Partial",IF(B33&gt;TODAY(),"Upcoming","Missed"))))</f>
        <v/>
      </c>
      <c r="T33" s="9" t="n"/>
    </row>
    <row r="34">
      <c r="A34" s="9" t="n">
        <v>33</v>
      </c>
      <c r="B34" s="10" t="n">
        <v>46325</v>
      </c>
      <c r="C34" s="9" t="inlineStr">
        <is>
          <t>Light Friday</t>
        </is>
      </c>
      <c r="D34" s="9" t="inlineStr">
        <is>
          <t>Observability</t>
        </is>
      </c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1" t="inlineStr"/>
      <c r="O34" s="11" t="inlineStr"/>
      <c r="P34" s="11">
        <f>COUNTIF(E34:K34,"✓")+COUNTIF(M34:O34,"✓")+IF(N(L34)&gt;=2.5,1,0)</f>
        <v/>
      </c>
      <c r="Q34" s="11" t="n">
        <v>11</v>
      </c>
      <c r="R34" s="12">
        <f>P34/Q34</f>
        <v/>
      </c>
      <c r="S34" s="11">
        <f>IF(P34&gt;=Q34,"Completed",IF(B34=TODAY(),"Today",IF(P34&gt;0,"Partial",IF(B34&gt;TODAY(),"Upcoming","Missed"))))</f>
        <v/>
      </c>
      <c r="T34" s="9" t="n"/>
    </row>
    <row r="35">
      <c r="A35" s="9" t="n">
        <v>34</v>
      </c>
      <c r="B35" s="10" t="n">
        <v>46326</v>
      </c>
      <c r="C35" s="9" t="inlineStr">
        <is>
          <t>Build Saturday</t>
        </is>
      </c>
      <c r="D35" s="9" t="inlineStr">
        <is>
          <t>Build: URL shortener</t>
        </is>
      </c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  <c r="N35" s="11" t="inlineStr"/>
      <c r="O35" s="11" t="inlineStr"/>
      <c r="P35" s="11">
        <f>COUNTIF(E35:K35,"✓")+COUNTIF(M35:O35,"✓")+IF(N(L35)&gt;=2.5,1,0)</f>
        <v/>
      </c>
      <c r="Q35" s="11" t="n">
        <v>11</v>
      </c>
      <c r="R35" s="12">
        <f>P35/Q35</f>
        <v/>
      </c>
      <c r="S35" s="11">
        <f>IF(P35&gt;=Q35,"Completed",IF(B35=TODAY(),"Today",IF(P35&gt;0,"Partial",IF(B35&gt;TODAY(),"Upcoming","Missed"))))</f>
        <v/>
      </c>
      <c r="T35" s="9" t="n"/>
    </row>
    <row r="36">
      <c r="A36" s="9" t="n">
        <v>35</v>
      </c>
      <c r="B36" s="10" t="n">
        <v>46327</v>
      </c>
      <c r="C36" s="9" t="inlineStr">
        <is>
          <t>Review Sunday</t>
        </is>
      </c>
      <c r="D36" s="9" t="inlineStr">
        <is>
          <t>Review week 5</t>
        </is>
      </c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  <c r="N36" s="11" t="inlineStr"/>
      <c r="O36" s="11" t="inlineStr"/>
      <c r="P36" s="11">
        <f>COUNTIF(E36:K36,"✓")+COUNTIF(M36:O36,"✓")+IF(N(L36)&gt;=2.5,1,0)</f>
        <v/>
      </c>
      <c r="Q36" s="11" t="n">
        <v>11</v>
      </c>
      <c r="R36" s="12">
        <f>P36/Q36</f>
        <v/>
      </c>
      <c r="S36" s="11">
        <f>IF(P36&gt;=Q36,"Completed",IF(B36=TODAY(),"Today",IF(P36&gt;0,"Partial",IF(B36&gt;TODAY(),"Upcoming","Missed"))))</f>
        <v/>
      </c>
      <c r="T36" s="9" t="n"/>
    </row>
    <row r="37">
      <c r="A37" s="9" t="n">
        <v>36</v>
      </c>
      <c r="B37" s="10" t="n">
        <v>46328</v>
      </c>
      <c r="C37" s="9" t="inlineStr">
        <is>
          <t>Office day</t>
        </is>
      </c>
      <c r="D37" s="9" t="inlineStr">
        <is>
          <t>Scheduling</t>
        </is>
      </c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  <c r="L37" s="11" t="inlineStr"/>
      <c r="M37" s="11" t="inlineStr"/>
      <c r="N37" s="11" t="inlineStr"/>
      <c r="O37" s="11" t="inlineStr"/>
      <c r="P37" s="11">
        <f>COUNTIF(E37:K37,"✓")+COUNTIF(M37:O37,"✓")+IF(N(L37)&gt;=2.5,1,0)</f>
        <v/>
      </c>
      <c r="Q37" s="11" t="n">
        <v>11</v>
      </c>
      <c r="R37" s="12">
        <f>P37/Q37</f>
        <v/>
      </c>
      <c r="S37" s="11">
        <f>IF(P37&gt;=Q37,"Completed",IF(B37=TODAY(),"Today",IF(P37&gt;0,"Partial",IF(B37&gt;TODAY(),"Upcoming","Missed"))))</f>
        <v/>
      </c>
      <c r="T37" s="9" t="n"/>
    </row>
    <row r="38">
      <c r="A38" s="9" t="n">
        <v>37</v>
      </c>
      <c r="B38" s="10" t="n">
        <v>46329</v>
      </c>
      <c r="C38" s="9" t="inlineStr">
        <is>
          <t>Office day</t>
        </is>
      </c>
      <c r="D38" s="9" t="inlineStr">
        <is>
          <t>Consistent hashing</t>
        </is>
      </c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inlineStr"/>
      <c r="N38" s="11" t="inlineStr"/>
      <c r="O38" s="11" t="inlineStr"/>
      <c r="P38" s="11">
        <f>COUNTIF(E38:K38,"✓")+COUNTIF(M38:O38,"✓")+IF(N(L38)&gt;=2.5,1,0)</f>
        <v/>
      </c>
      <c r="Q38" s="11" t="n">
        <v>11</v>
      </c>
      <c r="R38" s="12">
        <f>P38/Q38</f>
        <v/>
      </c>
      <c r="S38" s="11">
        <f>IF(P38&gt;=Q38,"Completed",IF(B38=TODAY(),"Today",IF(P38&gt;0,"Partial",IF(B38&gt;TODAY(),"Upcoming","Missed"))))</f>
        <v/>
      </c>
      <c r="T38" s="9" t="n"/>
    </row>
    <row r="39">
      <c r="A39" s="9" t="n">
        <v>38</v>
      </c>
      <c r="B39" s="10" t="n">
        <v>46330</v>
      </c>
      <c r="C39" s="9" t="inlineStr">
        <is>
          <t>Office day</t>
        </is>
      </c>
      <c r="D39" s="9" t="inlineStr">
        <is>
          <t>Graphs</t>
        </is>
      </c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  <c r="M39" s="11" t="inlineStr"/>
      <c r="N39" s="11" t="inlineStr"/>
      <c r="O39" s="11" t="inlineStr"/>
      <c r="P39" s="11">
        <f>COUNTIF(E39:K39,"✓")+COUNTIF(M39:O39,"✓")+IF(N(L39)&gt;=2.5,1,0)</f>
        <v/>
      </c>
      <c r="Q39" s="11" t="n">
        <v>11</v>
      </c>
      <c r="R39" s="12">
        <f>P39/Q39</f>
        <v/>
      </c>
      <c r="S39" s="11">
        <f>IF(P39&gt;=Q39,"Completed",IF(B39=TODAY(),"Today",IF(P39&gt;0,"Partial",IF(B39&gt;TODAY(),"Upcoming","Missed"))))</f>
        <v/>
      </c>
      <c r="T39" s="9" t="n"/>
    </row>
    <row r="40">
      <c r="A40" s="9" t="n">
        <v>39</v>
      </c>
      <c r="B40" s="10" t="n">
        <v>46331</v>
      </c>
      <c r="C40" s="9" t="inlineStr">
        <is>
          <t>Office day</t>
        </is>
      </c>
      <c r="D40" s="9" t="inlineStr">
        <is>
          <t>Coordination</t>
        </is>
      </c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  <c r="L40" s="11" t="inlineStr"/>
      <c r="M40" s="11" t="inlineStr"/>
      <c r="N40" s="11" t="inlineStr"/>
      <c r="O40" s="11" t="inlineStr"/>
      <c r="P40" s="11">
        <f>COUNTIF(E40:K40,"✓")+COUNTIF(M40:O40,"✓")+IF(N(L40)&gt;=2.5,1,0)</f>
        <v/>
      </c>
      <c r="Q40" s="11" t="n">
        <v>11</v>
      </c>
      <c r="R40" s="12">
        <f>P40/Q40</f>
        <v/>
      </c>
      <c r="S40" s="11">
        <f>IF(P40&gt;=Q40,"Completed",IF(B40=TODAY(),"Today",IF(P40&gt;0,"Partial",IF(B40&gt;TODAY(),"Upcoming","Missed"))))</f>
        <v/>
      </c>
      <c r="T40" s="9" t="n"/>
    </row>
    <row r="41">
      <c r="A41" s="9" t="n">
        <v>40</v>
      </c>
      <c r="B41" s="10" t="n">
        <v>46332</v>
      </c>
      <c r="C41" s="9" t="inlineStr">
        <is>
          <t>Light Friday</t>
        </is>
      </c>
      <c r="D41" s="9" t="inlineStr">
        <is>
          <t>Probabilistic tricks</t>
        </is>
      </c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  <c r="L41" s="11" t="inlineStr"/>
      <c r="M41" s="11" t="inlineStr"/>
      <c r="N41" s="11" t="inlineStr"/>
      <c r="O41" s="11" t="inlineStr"/>
      <c r="P41" s="11">
        <f>COUNTIF(E41:K41,"✓")+COUNTIF(M41:O41,"✓")+IF(N(L41)&gt;=2.5,1,0)</f>
        <v/>
      </c>
      <c r="Q41" s="11" t="n">
        <v>11</v>
      </c>
      <c r="R41" s="12">
        <f>P41/Q41</f>
        <v/>
      </c>
      <c r="S41" s="11">
        <f>IF(P41&gt;=Q41,"Completed",IF(B41=TODAY(),"Today",IF(P41&gt;0,"Partial",IF(B41&gt;TODAY(),"Upcoming","Missed"))))</f>
        <v/>
      </c>
      <c r="T41" s="9" t="n"/>
    </row>
    <row r="42">
      <c r="A42" s="9" t="n">
        <v>41</v>
      </c>
      <c r="B42" s="10" t="n">
        <v>46333</v>
      </c>
      <c r="C42" s="9" t="inlineStr">
        <is>
          <t>Build Saturday</t>
        </is>
      </c>
      <c r="D42" s="9" t="inlineStr">
        <is>
          <t>Build: parking system</t>
        </is>
      </c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  <c r="L42" s="11" t="inlineStr"/>
      <c r="M42" s="11" t="inlineStr"/>
      <c r="N42" s="11" t="inlineStr"/>
      <c r="O42" s="11" t="inlineStr"/>
      <c r="P42" s="11">
        <f>COUNTIF(E42:K42,"✓")+COUNTIF(M42:O42,"✓")+IF(N(L42)&gt;=2.5,1,0)</f>
        <v/>
      </c>
      <c r="Q42" s="11" t="n">
        <v>11</v>
      </c>
      <c r="R42" s="12">
        <f>P42/Q42</f>
        <v/>
      </c>
      <c r="S42" s="11">
        <f>IF(P42&gt;=Q42,"Completed",IF(B42=TODAY(),"Today",IF(P42&gt;0,"Partial",IF(B42&gt;TODAY(),"Upcoming","Missed"))))</f>
        <v/>
      </c>
      <c r="T42" s="9" t="n"/>
    </row>
    <row r="43">
      <c r="A43" s="9" t="n">
        <v>42</v>
      </c>
      <c r="B43" s="10" t="n">
        <v>46334</v>
      </c>
      <c r="C43" s="9" t="inlineStr">
        <is>
          <t>Review Sunday</t>
        </is>
      </c>
      <c r="D43" s="9" t="inlineStr">
        <is>
          <t>Review week 6</t>
        </is>
      </c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  <c r="L43" s="11" t="inlineStr"/>
      <c r="M43" s="11" t="inlineStr"/>
      <c r="N43" s="11" t="inlineStr"/>
      <c r="O43" s="11" t="inlineStr"/>
      <c r="P43" s="11">
        <f>COUNTIF(E43:K43,"✓")+COUNTIF(M43:O43,"✓")+IF(N(L43)&gt;=2.5,1,0)</f>
        <v/>
      </c>
      <c r="Q43" s="11" t="n">
        <v>11</v>
      </c>
      <c r="R43" s="12">
        <f>P43/Q43</f>
        <v/>
      </c>
      <c r="S43" s="11">
        <f>IF(P43&gt;=Q43,"Completed",IF(B43=TODAY(),"Today",IF(P43&gt;0,"Partial",IF(B43&gt;TODAY(),"Upcoming","Missed"))))</f>
        <v/>
      </c>
      <c r="T43" s="9" t="n"/>
    </row>
    <row r="44">
      <c r="A44" s="9" t="n">
        <v>43</v>
      </c>
      <c r="B44" s="10" t="n">
        <v>46335</v>
      </c>
      <c r="C44" s="9" t="inlineStr">
        <is>
          <t>Office day</t>
        </is>
      </c>
      <c r="D44" s="9" t="inlineStr">
        <is>
          <t>Search</t>
        </is>
      </c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  <c r="L44" s="11" t="inlineStr"/>
      <c r="M44" s="11" t="inlineStr"/>
      <c r="N44" s="11" t="inlineStr"/>
      <c r="O44" s="11" t="inlineStr"/>
      <c r="P44" s="11">
        <f>COUNTIF(E44:K44,"✓")+COUNTIF(M44:O44,"✓")+IF(N(L44)&gt;=2.5,1,0)</f>
        <v/>
      </c>
      <c r="Q44" s="11" t="n">
        <v>11</v>
      </c>
      <c r="R44" s="12">
        <f>P44/Q44</f>
        <v/>
      </c>
      <c r="S44" s="11">
        <f>IF(P44&gt;=Q44,"Completed",IF(B44=TODAY(),"Today",IF(P44&gt;0,"Partial",IF(B44&gt;TODAY(),"Upcoming","Missed"))))</f>
        <v/>
      </c>
      <c r="T44" s="9" t="n"/>
    </row>
    <row r="45">
      <c r="A45" s="9" t="n">
        <v>44</v>
      </c>
      <c r="B45" s="10" t="n">
        <v>46336</v>
      </c>
      <c r="C45" s="9" t="inlineStr">
        <is>
          <t>Office day</t>
        </is>
      </c>
      <c r="D45" s="9" t="inlineStr">
        <is>
          <t>Pagination</t>
        </is>
      </c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  <c r="L45" s="11" t="inlineStr"/>
      <c r="M45" s="11" t="inlineStr"/>
      <c r="N45" s="11" t="inlineStr"/>
      <c r="O45" s="11" t="inlineStr"/>
      <c r="P45" s="11">
        <f>COUNTIF(E45:K45,"✓")+COUNTIF(M45:O45,"✓")+IF(N(L45)&gt;=2.5,1,0)</f>
        <v/>
      </c>
      <c r="Q45" s="11" t="n">
        <v>11</v>
      </c>
      <c r="R45" s="12">
        <f>P45/Q45</f>
        <v/>
      </c>
      <c r="S45" s="11">
        <f>IF(P45&gt;=Q45,"Completed",IF(B45=TODAY(),"Today",IF(P45&gt;0,"Partial",IF(B45&gt;TODAY(),"Upcoming","Missed"))))</f>
        <v/>
      </c>
      <c r="T45" s="9" t="n"/>
    </row>
    <row r="46">
      <c r="A46" s="9" t="n">
        <v>45</v>
      </c>
      <c r="B46" s="10" t="n">
        <v>46337</v>
      </c>
      <c r="C46" s="9" t="inlineStr">
        <is>
          <t>Office day</t>
        </is>
      </c>
      <c r="D46" s="9" t="inlineStr">
        <is>
          <t>Concurrency</t>
        </is>
      </c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  <c r="L46" s="11" t="inlineStr"/>
      <c r="M46" s="11" t="inlineStr"/>
      <c r="N46" s="11" t="inlineStr"/>
      <c r="O46" s="11" t="inlineStr"/>
      <c r="P46" s="11">
        <f>COUNTIF(E46:K46,"✓")+COUNTIF(M46:O46,"✓")+IF(N(L46)&gt;=2.5,1,0)</f>
        <v/>
      </c>
      <c r="Q46" s="11" t="n">
        <v>11</v>
      </c>
      <c r="R46" s="12">
        <f>P46/Q46</f>
        <v/>
      </c>
      <c r="S46" s="11">
        <f>IF(P46&gt;=Q46,"Completed",IF(B46=TODAY(),"Today",IF(P46&gt;0,"Partial",IF(B46&gt;TODAY(),"Upcoming","Missed"))))</f>
        <v/>
      </c>
      <c r="T46" s="9" t="n"/>
    </row>
    <row r="47">
      <c r="A47" s="9" t="n">
        <v>46</v>
      </c>
      <c r="B47" s="10" t="n">
        <v>46338</v>
      </c>
      <c r="C47" s="9" t="inlineStr">
        <is>
          <t>Office day</t>
        </is>
      </c>
      <c r="D47" s="9" t="inlineStr">
        <is>
          <t>Real-time</t>
        </is>
      </c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  <c r="L47" s="11" t="inlineStr"/>
      <c r="M47" s="11" t="inlineStr"/>
      <c r="N47" s="11" t="inlineStr"/>
      <c r="O47" s="11" t="inlineStr"/>
      <c r="P47" s="11">
        <f>COUNTIF(E47:K47,"✓")+COUNTIF(M47:O47,"✓")+IF(N(L47)&gt;=2.5,1,0)</f>
        <v/>
      </c>
      <c r="Q47" s="11" t="n">
        <v>11</v>
      </c>
      <c r="R47" s="12">
        <f>P47/Q47</f>
        <v/>
      </c>
      <c r="S47" s="11">
        <f>IF(P47&gt;=Q47,"Completed",IF(B47=TODAY(),"Today",IF(P47&gt;0,"Partial",IF(B47&gt;TODAY(),"Upcoming","Missed"))))</f>
        <v/>
      </c>
      <c r="T47" s="9" t="n"/>
    </row>
    <row r="48">
      <c r="A48" s="9" t="n">
        <v>47</v>
      </c>
      <c r="B48" s="10" t="n">
        <v>46339</v>
      </c>
      <c r="C48" s="9" t="inlineStr">
        <is>
          <t>Light Friday</t>
        </is>
      </c>
      <c r="D48" s="9" t="inlineStr">
        <is>
          <t>Estimation</t>
        </is>
      </c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  <c r="L48" s="11" t="inlineStr"/>
      <c r="M48" s="11" t="inlineStr"/>
      <c r="N48" s="11" t="inlineStr"/>
      <c r="O48" s="11" t="inlineStr"/>
      <c r="P48" s="11">
        <f>COUNTIF(E48:K48,"✓")+COUNTIF(M48:O48,"✓")+IF(N(L48)&gt;=2.5,1,0)</f>
        <v/>
      </c>
      <c r="Q48" s="11" t="n">
        <v>11</v>
      </c>
      <c r="R48" s="12">
        <f>P48/Q48</f>
        <v/>
      </c>
      <c r="S48" s="11">
        <f>IF(P48&gt;=Q48,"Completed",IF(B48=TODAY(),"Today",IF(P48&gt;0,"Partial",IF(B48&gt;TODAY(),"Upcoming","Missed"))))</f>
        <v/>
      </c>
      <c r="T48" s="9" t="n"/>
    </row>
    <row r="49">
      <c r="A49" s="9" t="n">
        <v>48</v>
      </c>
      <c r="B49" s="10" t="n">
        <v>46340</v>
      </c>
      <c r="C49" s="9" t="inlineStr">
        <is>
          <t>Build Saturday</t>
        </is>
      </c>
      <c r="D49" s="9" t="inlineStr">
        <is>
          <t>Build: chat app</t>
        </is>
      </c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  <c r="L49" s="11" t="inlineStr"/>
      <c r="M49" s="11" t="inlineStr"/>
      <c r="N49" s="11" t="inlineStr"/>
      <c r="O49" s="11" t="inlineStr"/>
      <c r="P49" s="11">
        <f>COUNTIF(E49:K49,"✓")+COUNTIF(M49:O49,"✓")+IF(N(L49)&gt;=2.5,1,0)</f>
        <v/>
      </c>
      <c r="Q49" s="11" t="n">
        <v>11</v>
      </c>
      <c r="R49" s="12">
        <f>P49/Q49</f>
        <v/>
      </c>
      <c r="S49" s="11">
        <f>IF(P49&gt;=Q49,"Completed",IF(B49=TODAY(),"Today",IF(P49&gt;0,"Partial",IF(B49&gt;TODAY(),"Upcoming","Missed"))))</f>
        <v/>
      </c>
      <c r="T49" s="9" t="n"/>
    </row>
    <row r="50">
      <c r="A50" s="9" t="n">
        <v>49</v>
      </c>
      <c r="B50" s="10" t="n">
        <v>46341</v>
      </c>
      <c r="C50" s="9" t="inlineStr">
        <is>
          <t>Review Sunday</t>
        </is>
      </c>
      <c r="D50" s="9" t="inlineStr">
        <is>
          <t>Review week 7</t>
        </is>
      </c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  <c r="L50" s="11" t="inlineStr"/>
      <c r="M50" s="11" t="inlineStr"/>
      <c r="N50" s="11" t="inlineStr"/>
      <c r="O50" s="11" t="inlineStr"/>
      <c r="P50" s="11">
        <f>COUNTIF(E50:K50,"✓")+COUNTIF(M50:O50,"✓")+IF(N(L50)&gt;=2.5,1,0)</f>
        <v/>
      </c>
      <c r="Q50" s="11" t="n">
        <v>11</v>
      </c>
      <c r="R50" s="12">
        <f>P50/Q50</f>
        <v/>
      </c>
      <c r="S50" s="11">
        <f>IF(P50&gt;=Q50,"Completed",IF(B50=TODAY(),"Today",IF(P50&gt;0,"Partial",IF(B50&gt;TODAY(),"Upcoming","Missed"))))</f>
        <v/>
      </c>
      <c r="T50" s="9" t="n"/>
    </row>
    <row r="51">
      <c r="A51" s="9" t="n">
        <v>50</v>
      </c>
      <c r="B51" s="10" t="n">
        <v>46342</v>
      </c>
      <c r="C51" s="9" t="inlineStr">
        <is>
          <t>Office day</t>
        </is>
      </c>
      <c r="D51" s="9" t="inlineStr">
        <is>
          <t>Phase 2 checkpoint</t>
        </is>
      </c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  <c r="L51" s="11" t="inlineStr"/>
      <c r="M51" s="11" t="inlineStr"/>
      <c r="N51" s="11" t="inlineStr"/>
      <c r="O51" s="11" t="inlineStr"/>
      <c r="P51" s="11">
        <f>COUNTIF(E51:K51,"✓")+COUNTIF(M51:O51,"✓")+IF(N(L51)&gt;=2.5,1,0)</f>
        <v/>
      </c>
      <c r="Q51" s="11" t="n">
        <v>11</v>
      </c>
      <c r="R51" s="12">
        <f>P51/Q51</f>
        <v/>
      </c>
      <c r="S51" s="11">
        <f>IF(P51&gt;=Q51,"Completed",IF(B51=TODAY(),"Today",IF(P51&gt;0,"Partial",IF(B51&gt;TODAY(),"Upcoming","Missed"))))</f>
        <v/>
      </c>
      <c r="T51" s="9" t="n"/>
    </row>
    <row r="52">
      <c r="A52" s="9" t="n">
        <v>51</v>
      </c>
      <c r="B52" s="10" t="n">
        <v>46343</v>
      </c>
      <c r="C52" s="9" t="inlineStr">
        <is>
          <t>Office day</t>
        </is>
      </c>
      <c r="D52" s="9" t="inlineStr">
        <is>
          <t>Azure basics</t>
        </is>
      </c>
      <c r="E52" s="11" t="inlineStr"/>
      <c r="F52" s="11" t="inlineStr"/>
      <c r="G52" s="11" t="inlineStr"/>
      <c r="H52" s="11" t="inlineStr"/>
      <c r="I52" s="11" t="inlineStr"/>
      <c r="J52" s="11" t="inlineStr"/>
      <c r="K52" s="11" t="inlineStr"/>
      <c r="L52" s="11" t="inlineStr"/>
      <c r="M52" s="11" t="inlineStr"/>
      <c r="N52" s="11" t="inlineStr"/>
      <c r="O52" s="11" t="inlineStr"/>
      <c r="P52" s="11">
        <f>COUNTIF(E52:K52,"✓")+COUNTIF(M52:O52,"✓")+IF(N(L52)&gt;=2.5,1,0)</f>
        <v/>
      </c>
      <c r="Q52" s="11" t="n">
        <v>11</v>
      </c>
      <c r="R52" s="12">
        <f>P52/Q52</f>
        <v/>
      </c>
      <c r="S52" s="11">
        <f>IF(P52&gt;=Q52,"Completed",IF(B52=TODAY(),"Today",IF(P52&gt;0,"Partial",IF(B52&gt;TODAY(),"Upcoming","Missed"))))</f>
        <v/>
      </c>
      <c r="T52" s="9" t="n"/>
    </row>
    <row r="53">
      <c r="A53" s="9" t="n">
        <v>52</v>
      </c>
      <c r="B53" s="10" t="n">
        <v>46344</v>
      </c>
      <c r="C53" s="9" t="inlineStr">
        <is>
          <t>Office day</t>
        </is>
      </c>
      <c r="D53" s="9" t="inlineStr">
        <is>
          <t>Identity</t>
        </is>
      </c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  <c r="L53" s="11" t="inlineStr"/>
      <c r="M53" s="11" t="inlineStr"/>
      <c r="N53" s="11" t="inlineStr"/>
      <c r="O53" s="11" t="inlineStr"/>
      <c r="P53" s="11">
        <f>COUNTIF(E53:K53,"✓")+COUNTIF(M53:O53,"✓")+IF(N(L53)&gt;=2.5,1,0)</f>
        <v/>
      </c>
      <c r="Q53" s="11" t="n">
        <v>11</v>
      </c>
      <c r="R53" s="12">
        <f>P53/Q53</f>
        <v/>
      </c>
      <c r="S53" s="11">
        <f>IF(P53&gt;=Q53,"Completed",IF(B53=TODAY(),"Today",IF(P53&gt;0,"Partial",IF(B53&gt;TODAY(),"Upcoming","Missed"))))</f>
        <v/>
      </c>
      <c r="T53" s="9" t="n"/>
    </row>
    <row r="54">
      <c r="A54" s="9" t="n">
        <v>53</v>
      </c>
      <c r="B54" s="10" t="n">
        <v>46345</v>
      </c>
      <c r="C54" s="9" t="inlineStr">
        <is>
          <t>Office day</t>
        </is>
      </c>
      <c r="D54" s="9" t="inlineStr">
        <is>
          <t>Compute</t>
        </is>
      </c>
      <c r="E54" s="11" t="inlineStr"/>
      <c r="F54" s="11" t="inlineStr"/>
      <c r="G54" s="11" t="inlineStr"/>
      <c r="H54" s="11" t="inlineStr"/>
      <c r="I54" s="11" t="inlineStr"/>
      <c r="J54" s="11" t="inlineStr"/>
      <c r="K54" s="11" t="inlineStr"/>
      <c r="L54" s="11" t="inlineStr"/>
      <c r="M54" s="11" t="inlineStr"/>
      <c r="N54" s="11" t="inlineStr"/>
      <c r="O54" s="11" t="inlineStr"/>
      <c r="P54" s="11">
        <f>COUNTIF(E54:K54,"✓")+COUNTIF(M54:O54,"✓")+IF(N(L54)&gt;=2.5,1,0)</f>
        <v/>
      </c>
      <c r="Q54" s="11" t="n">
        <v>11</v>
      </c>
      <c r="R54" s="12">
        <f>P54/Q54</f>
        <v/>
      </c>
      <c r="S54" s="11">
        <f>IF(P54&gt;=Q54,"Completed",IF(B54=TODAY(),"Today",IF(P54&gt;0,"Partial",IF(B54&gt;TODAY(),"Upcoming","Missed"))))</f>
        <v/>
      </c>
      <c r="T54" s="9" t="n"/>
    </row>
    <row r="55">
      <c r="A55" s="9" t="n">
        <v>54</v>
      </c>
      <c r="B55" s="10" t="n">
        <v>46346</v>
      </c>
      <c r="C55" s="9" t="inlineStr">
        <is>
          <t>Light Friday</t>
        </is>
      </c>
      <c r="D55" s="9" t="inlineStr">
        <is>
          <t>Storage</t>
        </is>
      </c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  <c r="L55" s="11" t="inlineStr"/>
      <c r="M55" s="11" t="inlineStr"/>
      <c r="N55" s="11" t="inlineStr"/>
      <c r="O55" s="11" t="inlineStr"/>
      <c r="P55" s="11">
        <f>COUNTIF(E55:K55,"✓")+COUNTIF(M55:O55,"✓")+IF(N(L55)&gt;=2.5,1,0)</f>
        <v/>
      </c>
      <c r="Q55" s="11" t="n">
        <v>11</v>
      </c>
      <c r="R55" s="12">
        <f>P55/Q55</f>
        <v/>
      </c>
      <c r="S55" s="11">
        <f>IF(P55&gt;=Q55,"Completed",IF(B55=TODAY(),"Today",IF(P55&gt;0,"Partial",IF(B55&gt;TODAY(),"Upcoming","Missed"))))</f>
        <v/>
      </c>
      <c r="T55" s="9" t="n"/>
    </row>
    <row r="56">
      <c r="A56" s="9" t="n">
        <v>55</v>
      </c>
      <c r="B56" s="10" t="n">
        <v>46347</v>
      </c>
      <c r="C56" s="9" t="inlineStr">
        <is>
          <t>Build Saturday</t>
        </is>
      </c>
      <c r="D56" s="9" t="inlineStr">
        <is>
          <t>Build: .NET on Azure</t>
        </is>
      </c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  <c r="L56" s="11" t="inlineStr"/>
      <c r="M56" s="11" t="inlineStr"/>
      <c r="N56" s="11" t="inlineStr"/>
      <c r="O56" s="11" t="inlineStr"/>
      <c r="P56" s="11">
        <f>COUNTIF(E56:K56,"✓")+COUNTIF(M56:O56,"✓")+IF(N(L56)&gt;=2.5,1,0)</f>
        <v/>
      </c>
      <c r="Q56" s="11" t="n">
        <v>11</v>
      </c>
      <c r="R56" s="12">
        <f>P56/Q56</f>
        <v/>
      </c>
      <c r="S56" s="11">
        <f>IF(P56&gt;=Q56,"Completed",IF(B56=TODAY(),"Today",IF(P56&gt;0,"Partial",IF(B56&gt;TODAY(),"Upcoming","Missed"))))</f>
        <v/>
      </c>
      <c r="T56" s="9" t="n"/>
    </row>
    <row r="57">
      <c r="A57" s="9" t="n">
        <v>56</v>
      </c>
      <c r="B57" s="10" t="n">
        <v>46348</v>
      </c>
      <c r="C57" s="9" t="inlineStr">
        <is>
          <t>Review Sunday</t>
        </is>
      </c>
      <c r="D57" s="9" t="inlineStr">
        <is>
          <t>Review week 8</t>
        </is>
      </c>
      <c r="E57" s="11" t="inlineStr"/>
      <c r="F57" s="11" t="inlineStr"/>
      <c r="G57" s="11" t="inlineStr"/>
      <c r="H57" s="11" t="inlineStr"/>
      <c r="I57" s="11" t="inlineStr"/>
      <c r="J57" s="11" t="inlineStr"/>
      <c r="K57" s="11" t="inlineStr"/>
      <c r="L57" s="11" t="inlineStr"/>
      <c r="M57" s="11" t="inlineStr"/>
      <c r="N57" s="11" t="inlineStr"/>
      <c r="O57" s="11" t="inlineStr"/>
      <c r="P57" s="11">
        <f>COUNTIF(E57:K57,"✓")+COUNTIF(M57:O57,"✓")+IF(N(L57)&gt;=2.5,1,0)</f>
        <v/>
      </c>
      <c r="Q57" s="11" t="n">
        <v>11</v>
      </c>
      <c r="R57" s="12">
        <f>P57/Q57</f>
        <v/>
      </c>
      <c r="S57" s="11">
        <f>IF(P57&gt;=Q57,"Completed",IF(B57=TODAY(),"Today",IF(P57&gt;0,"Partial",IF(B57&gt;TODAY(),"Upcoming","Missed"))))</f>
        <v/>
      </c>
      <c r="T57" s="9" t="n"/>
    </row>
    <row r="58">
      <c r="A58" s="9" t="n">
        <v>57</v>
      </c>
      <c r="B58" s="10" t="n">
        <v>46349</v>
      </c>
      <c r="C58" s="9" t="inlineStr">
        <is>
          <t>Office day</t>
        </is>
      </c>
      <c r="D58" s="9" t="inlineStr">
        <is>
          <t>Distributed rate limiting</t>
        </is>
      </c>
      <c r="E58" s="11" t="inlineStr"/>
      <c r="F58" s="11" t="inlineStr"/>
      <c r="G58" s="11" t="inlineStr"/>
      <c r="H58" s="11" t="inlineStr"/>
      <c r="I58" s="11" t="inlineStr"/>
      <c r="J58" s="11" t="inlineStr"/>
      <c r="K58" s="11" t="inlineStr"/>
      <c r="L58" s="11" t="inlineStr"/>
      <c r="M58" s="11" t="inlineStr"/>
      <c r="N58" s="11" t="inlineStr"/>
      <c r="O58" s="11" t="inlineStr"/>
      <c r="P58" s="11">
        <f>COUNTIF(E58:K58,"✓")+COUNTIF(M58:O58,"✓")+IF(N(L58)&gt;=2.5,1,0)</f>
        <v/>
      </c>
      <c r="Q58" s="11" t="n">
        <v>11</v>
      </c>
      <c r="R58" s="12">
        <f>P58/Q58</f>
        <v/>
      </c>
      <c r="S58" s="11">
        <f>IF(P58&gt;=Q58,"Completed",IF(B58=TODAY(),"Today",IF(P58&gt;0,"Partial",IF(B58&gt;TODAY(),"Upcoming","Missed"))))</f>
        <v/>
      </c>
      <c r="T58" s="9" t="n"/>
    </row>
    <row r="59">
      <c r="A59" s="9" t="n">
        <v>58</v>
      </c>
      <c r="B59" s="10" t="n">
        <v>46350</v>
      </c>
      <c r="C59" s="9" t="inlineStr">
        <is>
          <t>Office day</t>
        </is>
      </c>
      <c r="D59" s="9" t="inlineStr">
        <is>
          <t>Scheduling on Azure</t>
        </is>
      </c>
      <c r="E59" s="11" t="inlineStr"/>
      <c r="F59" s="11" t="inlineStr"/>
      <c r="G59" s="11" t="inlineStr"/>
      <c r="H59" s="11" t="inlineStr"/>
      <c r="I59" s="11" t="inlineStr"/>
      <c r="J59" s="11" t="inlineStr"/>
      <c r="K59" s="11" t="inlineStr"/>
      <c r="L59" s="11" t="inlineStr"/>
      <c r="M59" s="11" t="inlineStr"/>
      <c r="N59" s="11" t="inlineStr"/>
      <c r="O59" s="11" t="inlineStr"/>
      <c r="P59" s="11">
        <f>COUNTIF(E59:K59,"✓")+COUNTIF(M59:O59,"✓")+IF(N(L59)&gt;=2.5,1,0)</f>
        <v/>
      </c>
      <c r="Q59" s="11" t="n">
        <v>11</v>
      </c>
      <c r="R59" s="12">
        <f>P59/Q59</f>
        <v/>
      </c>
      <c r="S59" s="11">
        <f>IF(P59&gt;=Q59,"Completed",IF(B59=TODAY(),"Today",IF(P59&gt;0,"Partial",IF(B59&gt;TODAY(),"Upcoming","Missed"))))</f>
        <v/>
      </c>
      <c r="T59" s="9" t="n"/>
    </row>
    <row r="60">
      <c r="A60" s="9" t="n">
        <v>59</v>
      </c>
      <c r="B60" s="10" t="n">
        <v>46351</v>
      </c>
      <c r="C60" s="9" t="inlineStr">
        <is>
          <t>Office day</t>
        </is>
      </c>
      <c r="D60" s="9" t="inlineStr">
        <is>
          <t>Event-driven</t>
        </is>
      </c>
      <c r="E60" s="11" t="inlineStr"/>
      <c r="F60" s="11" t="inlineStr"/>
      <c r="G60" s="11" t="inlineStr"/>
      <c r="H60" s="11" t="inlineStr"/>
      <c r="I60" s="11" t="inlineStr"/>
      <c r="J60" s="11" t="inlineStr"/>
      <c r="K60" s="11" t="inlineStr"/>
      <c r="L60" s="11" t="inlineStr"/>
      <c r="M60" s="11" t="inlineStr"/>
      <c r="N60" s="11" t="inlineStr"/>
      <c r="O60" s="11" t="inlineStr"/>
      <c r="P60" s="11">
        <f>COUNTIF(E60:K60,"✓")+COUNTIF(M60:O60,"✓")+IF(N(L60)&gt;=2.5,1,0)</f>
        <v/>
      </c>
      <c r="Q60" s="11" t="n">
        <v>11</v>
      </c>
      <c r="R60" s="12">
        <f>P60/Q60</f>
        <v/>
      </c>
      <c r="S60" s="11">
        <f>IF(P60&gt;=Q60,"Completed",IF(B60=TODAY(),"Today",IF(P60&gt;0,"Partial",IF(B60&gt;TODAY(),"Upcoming","Missed"))))</f>
        <v/>
      </c>
      <c r="T60" s="9" t="n"/>
    </row>
    <row r="61">
      <c r="A61" s="9" t="n">
        <v>60</v>
      </c>
      <c r="B61" s="10" t="n">
        <v>46352</v>
      </c>
      <c r="C61" s="9" t="inlineStr">
        <is>
          <t>Office day</t>
        </is>
      </c>
      <c r="D61" s="9" t="inlineStr">
        <is>
          <t>File storage</t>
        </is>
      </c>
      <c r="E61" s="11" t="inlineStr"/>
      <c r="F61" s="11" t="inlineStr"/>
      <c r="G61" s="11" t="inlineStr"/>
      <c r="H61" s="11" t="inlineStr"/>
      <c r="I61" s="11" t="inlineStr"/>
      <c r="J61" s="11" t="inlineStr"/>
      <c r="K61" s="11" t="inlineStr"/>
      <c r="L61" s="11" t="inlineStr"/>
      <c r="M61" s="11" t="inlineStr"/>
      <c r="N61" s="11" t="inlineStr"/>
      <c r="O61" s="11" t="inlineStr"/>
      <c r="P61" s="11">
        <f>COUNTIF(E61:K61,"✓")+COUNTIF(M61:O61,"✓")+IF(N(L61)&gt;=2.5,1,0)</f>
        <v/>
      </c>
      <c r="Q61" s="11" t="n">
        <v>11</v>
      </c>
      <c r="R61" s="12">
        <f>P61/Q61</f>
        <v/>
      </c>
      <c r="S61" s="11">
        <f>IF(P61&gt;=Q61,"Completed",IF(B61=TODAY(),"Today",IF(P61&gt;0,"Partial",IF(B61&gt;TODAY(),"Upcoming","Missed"))))</f>
        <v/>
      </c>
      <c r="T61" s="9" t="n"/>
    </row>
    <row r="62">
      <c r="A62" s="9" t="n">
        <v>61</v>
      </c>
      <c r="B62" s="10" t="n">
        <v>46353</v>
      </c>
      <c r="C62" s="9" t="inlineStr">
        <is>
          <t>Light Friday</t>
        </is>
      </c>
      <c r="D62" s="9" t="inlineStr">
        <is>
          <t>Monitoring</t>
        </is>
      </c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  <c r="L62" s="11" t="inlineStr"/>
      <c r="M62" s="11" t="inlineStr"/>
      <c r="N62" s="11" t="inlineStr"/>
      <c r="O62" s="11" t="inlineStr"/>
      <c r="P62" s="11">
        <f>COUNTIF(E62:K62,"✓")+COUNTIF(M62:O62,"✓")+IF(N(L62)&gt;=2.5,1,0)</f>
        <v/>
      </c>
      <c r="Q62" s="11" t="n">
        <v>11</v>
      </c>
      <c r="R62" s="12">
        <f>P62/Q62</f>
        <v/>
      </c>
      <c r="S62" s="11">
        <f>IF(P62&gt;=Q62,"Completed",IF(B62=TODAY(),"Today",IF(P62&gt;0,"Partial",IF(B62&gt;TODAY(),"Upcoming","Missed"))))</f>
        <v/>
      </c>
      <c r="T62" s="9" t="n"/>
    </row>
    <row r="63">
      <c r="A63" s="9" t="n">
        <v>62</v>
      </c>
      <c r="B63" s="10" t="n">
        <v>46354</v>
      </c>
      <c r="C63" s="9" t="inlineStr">
        <is>
          <t>Build Saturday</t>
        </is>
      </c>
      <c r="D63" s="9" t="inlineStr">
        <is>
          <t>Build: your project story</t>
        </is>
      </c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  <c r="L63" s="11" t="inlineStr"/>
      <c r="M63" s="11" t="inlineStr"/>
      <c r="N63" s="11" t="inlineStr"/>
      <c r="O63" s="11" t="inlineStr"/>
      <c r="P63" s="11">
        <f>COUNTIF(E63:K63,"✓")+COUNTIF(M63:O63,"✓")+IF(N(L63)&gt;=2.5,1,0)</f>
        <v/>
      </c>
      <c r="Q63" s="11" t="n">
        <v>11</v>
      </c>
      <c r="R63" s="12">
        <f>P63/Q63</f>
        <v/>
      </c>
      <c r="S63" s="11">
        <f>IF(P63&gt;=Q63,"Completed",IF(B63=TODAY(),"Today",IF(P63&gt;0,"Partial",IF(B63&gt;TODAY(),"Upcoming","Missed"))))</f>
        <v/>
      </c>
      <c r="T63" s="9" t="n"/>
    </row>
    <row r="64">
      <c r="A64" s="9" t="n">
        <v>63</v>
      </c>
      <c r="B64" s="10" t="n">
        <v>46355</v>
      </c>
      <c r="C64" s="9" t="inlineStr">
        <is>
          <t>Review Sunday</t>
        </is>
      </c>
      <c r="D64" s="9" t="inlineStr">
        <is>
          <t>Review week 9</t>
        </is>
      </c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  <c r="L64" s="11" t="inlineStr"/>
      <c r="M64" s="11" t="inlineStr"/>
      <c r="N64" s="11" t="inlineStr"/>
      <c r="O64" s="11" t="inlineStr"/>
      <c r="P64" s="11">
        <f>COUNTIF(E64:K64,"✓")+COUNTIF(M64:O64,"✓")+IF(N(L64)&gt;=2.5,1,0)</f>
        <v/>
      </c>
      <c r="Q64" s="11" t="n">
        <v>11</v>
      </c>
      <c r="R64" s="12">
        <f>P64/Q64</f>
        <v/>
      </c>
      <c r="S64" s="11">
        <f>IF(P64&gt;=Q64,"Completed",IF(B64=TODAY(),"Today",IF(P64&gt;0,"Partial",IF(B64&gt;TODAY(),"Upcoming","Missed"))))</f>
        <v/>
      </c>
      <c r="T64" s="9" t="n"/>
    </row>
    <row r="65">
      <c r="A65" s="9" t="n">
        <v>64</v>
      </c>
      <c r="B65" s="10" t="n">
        <v>46356</v>
      </c>
      <c r="C65" s="9" t="inlineStr">
        <is>
          <t>Office day</t>
        </is>
      </c>
      <c r="D65" s="9" t="inlineStr">
        <is>
          <t>Leaderboards</t>
        </is>
      </c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  <c r="L65" s="11" t="inlineStr"/>
      <c r="M65" s="11" t="inlineStr"/>
      <c r="N65" s="11" t="inlineStr"/>
      <c r="O65" s="11" t="inlineStr"/>
      <c r="P65" s="11">
        <f>COUNTIF(E65:K65,"✓")+COUNTIF(M65:O65,"✓")+IF(N(L65)&gt;=2.5,1,0)</f>
        <v/>
      </c>
      <c r="Q65" s="11" t="n">
        <v>11</v>
      </c>
      <c r="R65" s="12">
        <f>P65/Q65</f>
        <v/>
      </c>
      <c r="S65" s="11">
        <f>IF(P65&gt;=Q65,"Completed",IF(B65=TODAY(),"Today",IF(P65&gt;0,"Partial",IF(B65&gt;TODAY(),"Upcoming","Missed"))))</f>
        <v/>
      </c>
      <c r="T65" s="9" t="n"/>
    </row>
    <row r="66">
      <c r="A66" s="9" t="n">
        <v>65</v>
      </c>
      <c r="B66" s="10" t="n">
        <v>46357</v>
      </c>
      <c r="C66" s="9" t="inlineStr">
        <is>
          <t>Office day</t>
        </is>
      </c>
      <c r="D66" s="9" t="inlineStr">
        <is>
          <t>Social feed</t>
        </is>
      </c>
      <c r="E66" s="11" t="inlineStr"/>
      <c r="F66" s="11" t="inlineStr"/>
      <c r="G66" s="11" t="inlineStr"/>
      <c r="H66" s="11" t="inlineStr"/>
      <c r="I66" s="11" t="inlineStr"/>
      <c r="J66" s="11" t="inlineStr"/>
      <c r="K66" s="11" t="inlineStr"/>
      <c r="L66" s="11" t="inlineStr"/>
      <c r="M66" s="11" t="inlineStr"/>
      <c r="N66" s="11" t="inlineStr"/>
      <c r="O66" s="11" t="inlineStr"/>
      <c r="P66" s="11">
        <f>COUNTIF(E66:K66,"✓")+COUNTIF(M66:O66,"✓")+IF(N(L66)&gt;=2.5,1,0)</f>
        <v/>
      </c>
      <c r="Q66" s="11" t="n">
        <v>11</v>
      </c>
      <c r="R66" s="12">
        <f>P66/Q66</f>
        <v/>
      </c>
      <c r="S66" s="11">
        <f>IF(P66&gt;=Q66,"Completed",IF(B66=TODAY(),"Today",IF(P66&gt;0,"Partial",IF(B66&gt;TODAY(),"Upcoming","Missed"))))</f>
        <v/>
      </c>
      <c r="T66" s="9" t="n"/>
    </row>
    <row r="67">
      <c r="A67" s="9" t="n">
        <v>66</v>
      </c>
      <c r="B67" s="10" t="n">
        <v>46358</v>
      </c>
      <c r="C67" s="9" t="inlineStr">
        <is>
          <t>Office day</t>
        </is>
      </c>
      <c r="D67" s="9" t="inlineStr">
        <is>
          <t>Messaging</t>
        </is>
      </c>
      <c r="E67" s="11" t="inlineStr"/>
      <c r="F67" s="11" t="inlineStr"/>
      <c r="G67" s="11" t="inlineStr"/>
      <c r="H67" s="11" t="inlineStr"/>
      <c r="I67" s="11" t="inlineStr"/>
      <c r="J67" s="11" t="inlineStr"/>
      <c r="K67" s="11" t="inlineStr"/>
      <c r="L67" s="11" t="inlineStr"/>
      <c r="M67" s="11" t="inlineStr"/>
      <c r="N67" s="11" t="inlineStr"/>
      <c r="O67" s="11" t="inlineStr"/>
      <c r="P67" s="11">
        <f>COUNTIF(E67:K67,"✓")+COUNTIF(M67:O67,"✓")+IF(N(L67)&gt;=2.5,1,0)</f>
        <v/>
      </c>
      <c r="Q67" s="11" t="n">
        <v>11</v>
      </c>
      <c r="R67" s="12">
        <f>P67/Q67</f>
        <v/>
      </c>
      <c r="S67" s="11">
        <f>IF(P67&gt;=Q67,"Completed",IF(B67=TODAY(),"Today",IF(P67&gt;0,"Partial",IF(B67&gt;TODAY(),"Upcoming","Missed"))))</f>
        <v/>
      </c>
      <c r="T67" s="9" t="n"/>
    </row>
    <row r="68">
      <c r="A68" s="9" t="n">
        <v>67</v>
      </c>
      <c r="B68" s="10" t="n">
        <v>46359</v>
      </c>
      <c r="C68" s="9" t="inlineStr">
        <is>
          <t>Office day</t>
        </is>
      </c>
      <c r="D68" s="9" t="inlineStr">
        <is>
          <t>Video</t>
        </is>
      </c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  <c r="L68" s="11" t="inlineStr"/>
      <c r="M68" s="11" t="inlineStr"/>
      <c r="N68" s="11" t="inlineStr"/>
      <c r="O68" s="11" t="inlineStr"/>
      <c r="P68" s="11">
        <f>COUNTIF(E68:K68,"✓")+COUNTIF(M68:O68,"✓")+IF(N(L68)&gt;=2.5,1,0)</f>
        <v/>
      </c>
      <c r="Q68" s="11" t="n">
        <v>11</v>
      </c>
      <c r="R68" s="12">
        <f>P68/Q68</f>
        <v/>
      </c>
      <c r="S68" s="11">
        <f>IF(P68&gt;=Q68,"Completed",IF(B68=TODAY(),"Today",IF(P68&gt;0,"Partial",IF(B68&gt;TODAY(),"Upcoming","Missed"))))</f>
        <v/>
      </c>
      <c r="T68" s="9" t="n"/>
    </row>
    <row r="69">
      <c r="A69" s="9" t="n">
        <v>68</v>
      </c>
      <c r="B69" s="10" t="n">
        <v>46360</v>
      </c>
      <c r="C69" s="9" t="inlineStr">
        <is>
          <t>Light Friday</t>
        </is>
      </c>
      <c r="D69" s="9" t="inlineStr">
        <is>
          <t>Cheat sheets</t>
        </is>
      </c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  <c r="L69" s="11" t="inlineStr"/>
      <c r="M69" s="11" t="inlineStr"/>
      <c r="N69" s="11" t="inlineStr"/>
      <c r="O69" s="11" t="inlineStr"/>
      <c r="P69" s="11">
        <f>COUNTIF(E69:K69,"✓")+COUNTIF(M69:O69,"✓")+IF(N(L69)&gt;=2.5,1,0)</f>
        <v/>
      </c>
      <c r="Q69" s="11" t="n">
        <v>11</v>
      </c>
      <c r="R69" s="12">
        <f>P69/Q69</f>
        <v/>
      </c>
      <c r="S69" s="11">
        <f>IF(P69&gt;=Q69,"Completed",IF(B69=TODAY(),"Today",IF(P69&gt;0,"Partial",IF(B69&gt;TODAY(),"Upcoming","Missed"))))</f>
        <v/>
      </c>
      <c r="T69" s="9" t="n"/>
    </row>
    <row r="70">
      <c r="A70" s="9" t="n">
        <v>69</v>
      </c>
      <c r="B70" s="10" t="n">
        <v>46361</v>
      </c>
      <c r="C70" s="9" t="inlineStr">
        <is>
          <t>Build Saturday</t>
        </is>
      </c>
      <c r="D70" s="9" t="inlineStr">
        <is>
          <t>Build: mocks</t>
        </is>
      </c>
      <c r="E70" s="11" t="inlineStr"/>
      <c r="F70" s="11" t="inlineStr"/>
      <c r="G70" s="11" t="inlineStr"/>
      <c r="H70" s="11" t="inlineStr"/>
      <c r="I70" s="11" t="inlineStr"/>
      <c r="J70" s="11" t="inlineStr"/>
      <c r="K70" s="11" t="inlineStr"/>
      <c r="L70" s="11" t="inlineStr"/>
      <c r="M70" s="11" t="inlineStr"/>
      <c r="N70" s="11" t="inlineStr"/>
      <c r="O70" s="11" t="inlineStr"/>
      <c r="P70" s="11">
        <f>COUNTIF(E70:K70,"✓")+COUNTIF(M70:O70,"✓")+IF(N(L70)&gt;=2.5,1,0)</f>
        <v/>
      </c>
      <c r="Q70" s="11" t="n">
        <v>11</v>
      </c>
      <c r="R70" s="12">
        <f>P70/Q70</f>
        <v/>
      </c>
      <c r="S70" s="11">
        <f>IF(P70&gt;=Q70,"Completed",IF(B70=TODAY(),"Today",IF(P70&gt;0,"Partial",IF(B70&gt;TODAY(),"Upcoming","Missed"))))</f>
        <v/>
      </c>
      <c r="T70" s="9" t="n"/>
    </row>
    <row r="71">
      <c r="A71" s="9" t="n">
        <v>70</v>
      </c>
      <c r="B71" s="10" t="n">
        <v>46362</v>
      </c>
      <c r="C71" s="9" t="inlineStr">
        <is>
          <t>Review Sunday</t>
        </is>
      </c>
      <c r="D71" s="9" t="inlineStr">
        <is>
          <t>Review week 10</t>
        </is>
      </c>
      <c r="E71" s="11" t="inlineStr"/>
      <c r="F71" s="11" t="inlineStr"/>
      <c r="G71" s="11" t="inlineStr"/>
      <c r="H71" s="11" t="inlineStr"/>
      <c r="I71" s="11" t="inlineStr"/>
      <c r="J71" s="11" t="inlineStr"/>
      <c r="K71" s="11" t="inlineStr"/>
      <c r="L71" s="11" t="inlineStr"/>
      <c r="M71" s="11" t="inlineStr"/>
      <c r="N71" s="11" t="inlineStr"/>
      <c r="O71" s="11" t="inlineStr"/>
      <c r="P71" s="11">
        <f>COUNTIF(E71:K71,"✓")+COUNTIF(M71:O71,"✓")+IF(N(L71)&gt;=2.5,1,0)</f>
        <v/>
      </c>
      <c r="Q71" s="11" t="n">
        <v>11</v>
      </c>
      <c r="R71" s="12">
        <f>P71/Q71</f>
        <v/>
      </c>
      <c r="S71" s="11">
        <f>IF(P71&gt;=Q71,"Completed",IF(B71=TODAY(),"Today",IF(P71&gt;0,"Partial",IF(B71&gt;TODAY(),"Upcoming","Missed"))))</f>
        <v/>
      </c>
      <c r="T71" s="9" t="n"/>
    </row>
    <row r="72">
      <c r="A72" s="9" t="n">
        <v>71</v>
      </c>
      <c r="B72" s="10" t="n">
        <v>46363</v>
      </c>
      <c r="C72" s="9" t="inlineStr">
        <is>
          <t>Office day</t>
        </is>
      </c>
      <c r="D72" s="9" t="inlineStr">
        <is>
          <t>Payments</t>
        </is>
      </c>
      <c r="E72" s="11" t="inlineStr"/>
      <c r="F72" s="11" t="inlineStr"/>
      <c r="G72" s="11" t="inlineStr"/>
      <c r="H72" s="11" t="inlineStr"/>
      <c r="I72" s="11" t="inlineStr"/>
      <c r="J72" s="11" t="inlineStr"/>
      <c r="K72" s="11" t="inlineStr"/>
      <c r="L72" s="11" t="inlineStr"/>
      <c r="M72" s="11" t="inlineStr"/>
      <c r="N72" s="11" t="inlineStr"/>
      <c r="O72" s="11" t="inlineStr"/>
      <c r="P72" s="11">
        <f>COUNTIF(E72:K72,"✓")+COUNTIF(M72:O72,"✓")+IF(N(L72)&gt;=2.5,1,0)</f>
        <v/>
      </c>
      <c r="Q72" s="11" t="n">
        <v>11</v>
      </c>
      <c r="R72" s="12">
        <f>P72/Q72</f>
        <v/>
      </c>
      <c r="S72" s="11">
        <f>IF(P72&gt;=Q72,"Completed",IF(B72=TODAY(),"Today",IF(P72&gt;0,"Partial",IF(B72&gt;TODAY(),"Upcoming","Missed"))))</f>
        <v/>
      </c>
      <c r="T72" s="9" t="n"/>
    </row>
    <row r="73">
      <c r="A73" s="9" t="n">
        <v>72</v>
      </c>
      <c r="B73" s="10" t="n">
        <v>46364</v>
      </c>
      <c r="C73" s="9" t="inlineStr">
        <is>
          <t>Office day</t>
        </is>
      </c>
      <c r="D73" s="9" t="inlineStr">
        <is>
          <t>Booking</t>
        </is>
      </c>
      <c r="E73" s="11" t="inlineStr"/>
      <c r="F73" s="11" t="inlineStr"/>
      <c r="G73" s="11" t="inlineStr"/>
      <c r="H73" s="11" t="inlineStr"/>
      <c r="I73" s="11" t="inlineStr"/>
      <c r="J73" s="11" t="inlineStr"/>
      <c r="K73" s="11" t="inlineStr"/>
      <c r="L73" s="11" t="inlineStr"/>
      <c r="M73" s="11" t="inlineStr"/>
      <c r="N73" s="11" t="inlineStr"/>
      <c r="O73" s="11" t="inlineStr"/>
      <c r="P73" s="11">
        <f>COUNTIF(E73:K73,"✓")+COUNTIF(M73:O73,"✓")+IF(N(L73)&gt;=2.5,1,0)</f>
        <v/>
      </c>
      <c r="Q73" s="11" t="n">
        <v>11</v>
      </c>
      <c r="R73" s="12">
        <f>P73/Q73</f>
        <v/>
      </c>
      <c r="S73" s="11">
        <f>IF(P73&gt;=Q73,"Completed",IF(B73=TODAY(),"Today",IF(P73&gt;0,"Partial",IF(B73&gt;TODAY(),"Upcoming","Missed"))))</f>
        <v/>
      </c>
      <c r="T73" s="9" t="n"/>
    </row>
    <row r="74">
      <c r="A74" s="9" t="n">
        <v>73</v>
      </c>
      <c r="B74" s="10" t="n">
        <v>46365</v>
      </c>
      <c r="C74" s="9" t="inlineStr">
        <is>
          <t>Office day</t>
        </is>
      </c>
      <c r="D74" s="9" t="inlineStr">
        <is>
          <t>Mock day</t>
        </is>
      </c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  <c r="L74" s="11" t="inlineStr"/>
      <c r="M74" s="11" t="inlineStr"/>
      <c r="N74" s="11" t="inlineStr"/>
      <c r="O74" s="11" t="inlineStr"/>
      <c r="P74" s="11">
        <f>COUNTIF(E74:K74,"✓")+COUNTIF(M74:O74,"✓")+IF(N(L74)&gt;=2.5,1,0)</f>
        <v/>
      </c>
      <c r="Q74" s="11" t="n">
        <v>11</v>
      </c>
      <c r="R74" s="12">
        <f>P74/Q74</f>
        <v/>
      </c>
      <c r="S74" s="11">
        <f>IF(P74&gt;=Q74,"Completed",IF(B74=TODAY(),"Today",IF(P74&gt;0,"Partial",IF(B74&gt;TODAY(),"Upcoming","Missed"))))</f>
        <v/>
      </c>
      <c r="T74" s="9" t="n"/>
    </row>
    <row r="75">
      <c r="A75" s="9" t="n">
        <v>74</v>
      </c>
      <c r="B75" s="10" t="n">
        <v>46366</v>
      </c>
      <c r="C75" s="9" t="inlineStr">
        <is>
          <t>Office day</t>
        </is>
      </c>
      <c r="D75" s="9" t="inlineStr">
        <is>
          <t>Tell your story</t>
        </is>
      </c>
      <c r="E75" s="11" t="inlineStr"/>
      <c r="F75" s="11" t="inlineStr"/>
      <c r="G75" s="11" t="inlineStr"/>
      <c r="H75" s="11" t="inlineStr"/>
      <c r="I75" s="11" t="inlineStr"/>
      <c r="J75" s="11" t="inlineStr"/>
      <c r="K75" s="11" t="inlineStr"/>
      <c r="L75" s="11" t="inlineStr"/>
      <c r="M75" s="11" t="inlineStr"/>
      <c r="N75" s="11" t="inlineStr"/>
      <c r="O75" s="11" t="inlineStr"/>
      <c r="P75" s="11">
        <f>COUNTIF(E75:K75,"✓")+COUNTIF(M75:O75,"✓")+IF(N(L75)&gt;=2.5,1,0)</f>
        <v/>
      </c>
      <c r="Q75" s="11" t="n">
        <v>11</v>
      </c>
      <c r="R75" s="12">
        <f>P75/Q75</f>
        <v/>
      </c>
      <c r="S75" s="11">
        <f>IF(P75&gt;=Q75,"Completed",IF(B75=TODAY(),"Today",IF(P75&gt;0,"Partial",IF(B75&gt;TODAY(),"Upcoming","Missed"))))</f>
        <v/>
      </c>
      <c r="T75" s="9" t="n"/>
    </row>
    <row r="76">
      <c r="A76" s="9" t="n">
        <v>75</v>
      </c>
      <c r="B76" s="10" t="n">
        <v>46367</v>
      </c>
      <c r="C76" s="9" t="inlineStr">
        <is>
          <t>Light Friday</t>
        </is>
      </c>
      <c r="D76" s="9" t="inlineStr">
        <is>
          <t>Day 75: finish line</t>
        </is>
      </c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  <c r="L76" s="11" t="inlineStr"/>
      <c r="M76" s="11" t="inlineStr"/>
      <c r="N76" s="11" t="inlineStr"/>
      <c r="O76" s="11" t="inlineStr"/>
      <c r="P76" s="11">
        <f>COUNTIF(E76:K76,"✓")+COUNTIF(M76:O76,"✓")+IF(N(L76)&gt;=2.5,1,0)</f>
        <v/>
      </c>
      <c r="Q76" s="11" t="n">
        <v>11</v>
      </c>
      <c r="R76" s="12">
        <f>P76/Q76</f>
        <v/>
      </c>
      <c r="S76" s="11">
        <f>IF(P76&gt;=Q76,"Completed",IF(B76=TODAY(),"Today",IF(P76&gt;0,"Partial",IF(B76&gt;TODAY(),"Upcoming","Missed"))))</f>
        <v/>
      </c>
      <c r="T76" s="9" t="n"/>
    </row>
  </sheetData>
  <autoFilter ref="A1:T76"/>
  <conditionalFormatting sqref="S2:S76">
    <cfRule type="cellIs" priority="1" operator="equal" dxfId="0">
      <formula>"Completed"</formula>
    </cfRule>
    <cfRule type="cellIs" priority="2" operator="equal" dxfId="1">
      <formula>"Partial"</formula>
    </cfRule>
    <cfRule type="cellIs" priority="3" operator="equal" dxfId="2">
      <formula>"Missed"</formula>
    </cfRule>
    <cfRule type="cellIs" priority="4" operator="equal" dxfId="3">
      <formula>"Today"</formula>
    </cfRule>
    <cfRule type="cellIs" priority="5" operator="equal" dxfId="4">
      <formula>"Upcoming"</formula>
    </cfRule>
  </conditionalFormatting>
  <conditionalFormatting sqref="E2:O76">
    <cfRule type="cellIs" priority="6" operator="equal" dxfId="0">
      <formula>"✓"</formula>
    </cfRule>
  </conditionalFormatting>
  <conditionalFormatting sqref="A2:D76">
    <cfRule type="expression" priority="7" dxfId="5">
      <formula>$B2=TODAY()</formula>
    </cfRule>
  </conditionalFormatting>
  <dataValidations count="2">
    <dataValidation sqref="E2:K76 M2:O76" showDropDown="0" showInputMessage="0" showErrorMessage="0" allowBlank="1" promptTitle="Done?" prompt="Pick ✓ when done" type="list">
      <formula1>"✓"</formula1>
    </dataValidation>
    <dataValidation sqref="L2:L76" showDropDown="0" showInputMessage="0" showErrorMessage="0" allowBlank="1" type="list">
      <formula1>"0,0.5,1,1.5,2,2.5,3"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7" customWidth="1" min="5" max="5"/>
    <col width="6" customWidth="1" min="6" max="6"/>
    <col width="26" customWidth="1" min="7" max="7"/>
    <col width="20" customWidth="1" min="8" max="8"/>
    <col width="40" customWidth="1" min="9" max="9"/>
    <col width="30" customWidth="1" min="10" max="10"/>
    <col width="8" customWidth="1" min="11" max="11"/>
    <col width="30" customWidth="1" min="12" max="12"/>
    <col width="8" customWidth="1" min="13" max="13"/>
    <col width="30" customWidth="1" min="14" max="14"/>
    <col width="8" customWidth="1" min="15" max="15"/>
    <col width="36" customWidth="1" min="16" max="16"/>
    <col width="60" customWidth="1" min="17" max="17"/>
    <col width="40" customWidth="1" min="18" max="18"/>
    <col width="44" customWidth="1" min="19" max="19"/>
    <col width="50" customWidth="1" min="20" max="20"/>
  </cols>
  <sheetData>
    <row r="1" ht="30" customHeight="1">
      <c r="A1" s="8" t="inlineStr">
        <is>
          <t>Day</t>
        </is>
      </c>
      <c r="B1" s="8" t="inlineStr">
        <is>
          <t>Date</t>
        </is>
      </c>
      <c r="C1" s="8" t="inlineStr">
        <is>
          <t>Weekday</t>
        </is>
      </c>
      <c r="D1" s="8" t="inlineStr">
        <is>
          <t>Type</t>
        </is>
      </c>
      <c r="E1" s="8" t="inlineStr">
        <is>
          <t>Phase</t>
        </is>
      </c>
      <c r="F1" s="8" t="inlineStr">
        <is>
          <t>Week</t>
        </is>
      </c>
      <c r="G1" s="8" t="inlineStr">
        <is>
          <t>Theme</t>
        </is>
      </c>
      <c r="H1" s="8" t="inlineStr">
        <is>
          <t>DSA pattern</t>
        </is>
      </c>
      <c r="I1" s="8" t="inlineStr">
        <is>
          <t>Approach</t>
        </is>
      </c>
      <c r="J1" s="8" t="inlineStr">
        <is>
          <t>LeetCode 1</t>
        </is>
      </c>
      <c r="K1" s="8" t="inlineStr">
        <is>
          <t>Diff</t>
        </is>
      </c>
      <c r="L1" s="8" t="inlineStr">
        <is>
          <t>LeetCode 2</t>
        </is>
      </c>
      <c r="M1" s="8" t="inlineStr">
        <is>
          <t>Diff</t>
        </is>
      </c>
      <c r="N1" s="8" t="inlineStr">
        <is>
          <t>LeetCode 3</t>
        </is>
      </c>
      <c r="O1" s="8" t="inlineStr">
        <is>
          <t>Diff</t>
        </is>
      </c>
      <c r="P1" s="8" t="inlineStr">
        <is>
          <t>HLD read (lunch)</t>
        </is>
      </c>
      <c r="Q1" s="8" t="inlineStr">
        <is>
          <t>HLD key points</t>
        </is>
      </c>
      <c r="R1" s="8" t="inlineStr">
        <is>
          <t>LLD in C# (9 pm)</t>
        </is>
      </c>
      <c r="S1" s="8" t="inlineStr">
        <is>
          <t>Cloud lab (9:30 pm)</t>
        </is>
      </c>
      <c r="T1" s="8" t="inlineStr">
        <is>
          <t>Checkpoint pass criteria</t>
        </is>
      </c>
    </row>
    <row r="2" ht="48" customHeight="1">
      <c r="A2" s="13" t="n">
        <v>1</v>
      </c>
      <c r="B2" s="14" t="n">
        <v>46293</v>
      </c>
      <c r="C2" s="13" t="inlineStr">
        <is>
          <t>Mon</t>
        </is>
      </c>
      <c r="D2" s="13" t="inlineStr">
        <is>
          <t>Office day</t>
        </is>
      </c>
      <c r="E2" s="13" t="n">
        <v>1</v>
      </c>
      <c r="F2" s="13" t="n">
        <v>1</v>
      </c>
      <c r="G2" s="13" t="inlineStr">
        <is>
          <t>How the web works</t>
        </is>
      </c>
      <c r="H2" s="13" t="inlineStr">
        <is>
          <t>Arrays &amp; hashing</t>
        </is>
      </c>
      <c r="I2" s="13" t="inlineStr">
        <is>
          <t>Trade memory for time: a HashMap / HashSet turns an O(n^2) scan into O(n).</t>
        </is>
      </c>
      <c r="J2" s="15" t="inlineStr">
        <is>
          <t>Two Sum</t>
        </is>
      </c>
      <c r="K2" s="16" t="inlineStr">
        <is>
          <t>Easy</t>
        </is>
      </c>
      <c r="L2" s="15" t="inlineStr">
        <is>
          <t>Contains Duplicate</t>
        </is>
      </c>
      <c r="M2" s="16" t="inlineStr">
        <is>
          <t>Easy</t>
        </is>
      </c>
      <c r="N2" s="15" t="inlineStr">
        <is>
          <t>Valid Anagram</t>
        </is>
      </c>
      <c r="O2" s="16" t="inlineStr">
        <is>
          <t>Easy</t>
        </is>
      </c>
      <c r="P2" s="13" t="inlineStr">
        <is>
          <t>What happens when you type a URL: DNS, TCP, HTTP</t>
        </is>
      </c>
      <c r="Q2" s="13" t="inlineStr">
        <is>
          <t>• DNS resolves the name, TCP (+TLS) opens the connection, HTTP carries the request
• Browser cache → OS → resolver → root/TLD/authoritative servers
• Where latency is spent: DNS, handshake, server time, download</t>
        </is>
      </c>
      <c r="R2" s="13" t="inlineStr">
        <is>
          <t>Classes, objects and encapsulation in C#</t>
        </is>
      </c>
      <c r="S2" s="13" t="inlineStr">
        <is>
          <t>AWS: AWS regions and AZs; free-tier account + billing alarm</t>
        </is>
      </c>
      <c r="T2" s="13" t="inlineStr"/>
    </row>
    <row r="3" ht="48" customHeight="1">
      <c r="A3" s="13" t="n">
        <v>2</v>
      </c>
      <c r="B3" s="14" t="n">
        <v>46294</v>
      </c>
      <c r="C3" s="13" t="inlineStr">
        <is>
          <t>Tue</t>
        </is>
      </c>
      <c r="D3" s="13" t="inlineStr">
        <is>
          <t>Office day</t>
        </is>
      </c>
      <c r="E3" s="13" t="n">
        <v>1</v>
      </c>
      <c r="F3" s="13" t="n">
        <v>1</v>
      </c>
      <c r="G3" s="13" t="inlineStr">
        <is>
          <t>Scaling a server</t>
        </is>
      </c>
      <c r="H3" s="13" t="inlineStr">
        <is>
          <t>Arrays &amp; hashing</t>
        </is>
      </c>
      <c r="I3" s="13" t="inlineStr">
        <is>
          <t>Trade memory for time: a HashMap / HashSet turns an O(n^2) scan into O(n).</t>
        </is>
      </c>
      <c r="J3" s="15" t="inlineStr">
        <is>
          <t>Group Anagrams</t>
        </is>
      </c>
      <c r="K3" s="17" t="inlineStr">
        <is>
          <t>Medium</t>
        </is>
      </c>
      <c r="L3" s="15" t="inlineStr">
        <is>
          <t>Top K Frequent Elements</t>
        </is>
      </c>
      <c r="M3" s="17" t="inlineStr">
        <is>
          <t>Medium</t>
        </is>
      </c>
      <c r="N3" s="15" t="inlineStr">
        <is>
          <t>Product of Array Except Self</t>
        </is>
      </c>
      <c r="O3" s="17" t="inlineStr">
        <is>
          <t>Medium</t>
        </is>
      </c>
      <c r="P3" s="13" t="inlineStr">
        <is>
          <t>Vertical vs horizontal scaling</t>
        </is>
      </c>
      <c r="Q3" s="13" t="inlineStr">
        <is>
          <t>• Vertical = bigger machine: simple, has a ceiling and a single point of failure
• Horizontal = more machines: needs a load balancer and stateless app servers
• Scale reads with replicas and caches before sharding writes</t>
        </is>
      </c>
      <c r="R3" s="13" t="inlineStr">
        <is>
          <t>Inheritance vs composition</t>
        </is>
      </c>
      <c r="S3" s="13" t="inlineStr">
        <is>
          <t>AWS: IAM: users, groups, roles, policies, MFA</t>
        </is>
      </c>
      <c r="T3" s="13" t="inlineStr"/>
    </row>
    <row r="4" ht="48" customHeight="1">
      <c r="A4" s="13" t="n">
        <v>3</v>
      </c>
      <c r="B4" s="14" t="n">
        <v>46295</v>
      </c>
      <c r="C4" s="13" t="inlineStr">
        <is>
          <t>Wed</t>
        </is>
      </c>
      <c r="D4" s="13" t="inlineStr">
        <is>
          <t>Office day</t>
        </is>
      </c>
      <c r="E4" s="13" t="n">
        <v>1</v>
      </c>
      <c r="F4" s="13" t="n">
        <v>1</v>
      </c>
      <c r="G4" s="13" t="inlineStr">
        <is>
          <t>Load balancing</t>
        </is>
      </c>
      <c r="H4" s="13" t="inlineStr">
        <is>
          <t>Arrays &amp; hashing</t>
        </is>
      </c>
      <c r="I4" s="13" t="inlineStr">
        <is>
          <t>Trade memory for time: a HashMap / HashSet turns an O(n^2) scan into O(n).</t>
        </is>
      </c>
      <c r="J4" s="15" t="inlineStr">
        <is>
          <t>Valid Sudoku</t>
        </is>
      </c>
      <c r="K4" s="17" t="inlineStr">
        <is>
          <t>Medium</t>
        </is>
      </c>
      <c r="L4" s="15" t="inlineStr">
        <is>
          <t>Longest Consecutive Sequence</t>
        </is>
      </c>
      <c r="M4" s="17" t="inlineStr">
        <is>
          <t>Medium</t>
        </is>
      </c>
      <c r="N4" s="15" t="inlineStr">
        <is>
          <t>Majority Element</t>
        </is>
      </c>
      <c r="O4" s="16" t="inlineStr">
        <is>
          <t>Easy</t>
        </is>
      </c>
      <c r="P4" s="13" t="inlineStr">
        <is>
          <t>Load balancers: L4 vs L7, round robin, least connections</t>
        </is>
      </c>
      <c r="Q4" s="13" t="inlineStr">
        <is>
          <t>• L4 balances TCP connections; L7 routes by path, header or cookie
• Round robin vs least connections vs IP hash, and when each wins
• Health checks remove bad nodes; the LB itself needs redundancy</t>
        </is>
      </c>
      <c r="R4" s="13" t="inlineStr">
        <is>
          <t>Polymorphism and interfaces: an ILoadBalancingStrategy</t>
        </is>
      </c>
      <c r="S4" s="13" t="inlineStr">
        <is>
          <t>AWS: EC2: launch an instance, security groups, SSH</t>
        </is>
      </c>
      <c r="T4" s="13" t="inlineStr"/>
    </row>
    <row r="5" ht="48" customHeight="1">
      <c r="A5" s="13" t="n">
        <v>4</v>
      </c>
      <c r="B5" s="14" t="n">
        <v>46296</v>
      </c>
      <c r="C5" s="13" t="inlineStr">
        <is>
          <t>Thu</t>
        </is>
      </c>
      <c r="D5" s="13" t="inlineStr">
        <is>
          <t>Office day</t>
        </is>
      </c>
      <c r="E5" s="13" t="n">
        <v>1</v>
      </c>
      <c r="F5" s="13" t="n">
        <v>1</v>
      </c>
      <c r="G5" s="13" t="inlineStr">
        <is>
          <t>Stateless services</t>
        </is>
      </c>
      <c r="H5" s="13" t="inlineStr">
        <is>
          <t>Two pointers</t>
        </is>
      </c>
      <c r="I5" s="13" t="inlineStr">
        <is>
          <t>Sorted input or a palindrome? Move two indices toward each other instead of nesting loops.</t>
        </is>
      </c>
      <c r="J5" s="15" t="inlineStr">
        <is>
          <t>Valid Palindrome</t>
        </is>
      </c>
      <c r="K5" s="16" t="inlineStr">
        <is>
          <t>Easy</t>
        </is>
      </c>
      <c r="L5" s="15" t="inlineStr">
        <is>
          <t>Two Sum II - Input Array Is Sorted</t>
        </is>
      </c>
      <c r="M5" s="17" t="inlineStr">
        <is>
          <t>Medium</t>
        </is>
      </c>
      <c r="N5" s="15" t="inlineStr">
        <is>
          <t>3Sum</t>
        </is>
      </c>
      <c r="O5" s="17" t="inlineStr">
        <is>
          <t>Medium</t>
        </is>
      </c>
      <c r="P5" s="13" t="inlineStr">
        <is>
          <t>Stateless servers, sticky sessions, session stores</t>
        </is>
      </c>
      <c r="Q5" s="13" t="inlineStr">
        <is>
          <t>• Keep session state out of app servers so any server can take any request
• Sticky sessions are a workaround with uneven load and lost sessions
• Session stores: Redis or a DB with a TTL; JWT moves state to the client</t>
        </is>
      </c>
      <c r="R5" s="13" t="inlineStr">
        <is>
          <t>SOLID part 1: Single Responsibility, Open/Closed</t>
        </is>
      </c>
      <c r="S5" s="13" t="inlineStr">
        <is>
          <t>AWS: ALB + Auto Scaling Group</t>
        </is>
      </c>
      <c r="T5" s="13" t="inlineStr"/>
    </row>
    <row r="6" ht="48" customHeight="1">
      <c r="A6" s="13" t="n">
        <v>5</v>
      </c>
      <c r="B6" s="14" t="n">
        <v>46297</v>
      </c>
      <c r="C6" s="13" t="inlineStr">
        <is>
          <t>Fri</t>
        </is>
      </c>
      <c r="D6" s="13" t="inlineStr">
        <is>
          <t>Light Friday</t>
        </is>
      </c>
      <c r="E6" s="13" t="n">
        <v>1</v>
      </c>
      <c r="F6" s="13" t="n">
        <v>1</v>
      </c>
      <c r="G6" s="13" t="inlineStr">
        <is>
          <t>APIs</t>
        </is>
      </c>
      <c r="H6" s="13" t="inlineStr">
        <is>
          <t>Two pointers</t>
        </is>
      </c>
      <c r="I6" s="13" t="inlineStr">
        <is>
          <t>Sorted input or a palindrome? Move two indices toward each other instead of nesting loops.</t>
        </is>
      </c>
      <c r="J6" s="15" t="inlineStr">
        <is>
          <t>Container With Most Water</t>
        </is>
      </c>
      <c r="K6" s="17" t="inlineStr">
        <is>
          <t>Medium</t>
        </is>
      </c>
      <c r="L6" s="15" t="inlineStr">
        <is>
          <t>Remove Duplicates from Sorted Array</t>
        </is>
      </c>
      <c r="M6" s="16" t="inlineStr">
        <is>
          <t>Easy</t>
        </is>
      </c>
      <c r="N6" s="15" t="inlineStr">
        <is>
          <t>Move Zeroes</t>
        </is>
      </c>
      <c r="O6" s="16" t="inlineStr">
        <is>
          <t>Easy</t>
        </is>
      </c>
      <c r="P6" s="13" t="inlineStr">
        <is>
          <t>REST API design, status codes, idempotency</t>
        </is>
      </c>
      <c r="Q6" s="13" t="inlineStr">
        <is>
          <t>• Resources as nouns, HTTP verbs as actions, correct status codes (201, 400, 404, 409, 429)
• Idempotency: PUT/DELETE are, POST is not unless you add an idempotency key
• Versioning, pagination and consistent error bodies</t>
        </is>
      </c>
      <c r="R6" s="13" t="inlineStr">
        <is>
          <t>SOLID part 2: Liskov, Interface Segregation, Dependency Inversion</t>
        </is>
      </c>
      <c r="S6" s="13" t="inlineStr">
        <is>
          <t>AWS: S3: buckets, storage classes, static website</t>
        </is>
      </c>
      <c r="T6" s="13" t="inlineStr"/>
    </row>
    <row r="7" ht="48" customHeight="1">
      <c r="A7" s="13" t="n">
        <v>6</v>
      </c>
      <c r="B7" s="14" t="n">
        <v>46298</v>
      </c>
      <c r="C7" s="13" t="inlineStr">
        <is>
          <t>Sat</t>
        </is>
      </c>
      <c r="D7" s="13" t="inlineStr">
        <is>
          <t>Build Saturday</t>
        </is>
      </c>
      <c r="E7" s="13" t="n">
        <v>1</v>
      </c>
      <c r="F7" s="13" t="n">
        <v>1</v>
      </c>
      <c r="G7" s="13" t="inlineStr">
        <is>
          <t>Build: 3-tier app</t>
        </is>
      </c>
      <c r="H7" s="13" t="inlineStr">
        <is>
          <t>Two pointers</t>
        </is>
      </c>
      <c r="I7" s="13" t="inlineStr">
        <is>
          <t>Sorted input or a palindrome? Move two indices toward each other instead of nesting loops.</t>
        </is>
      </c>
      <c r="J7" s="15" t="inlineStr">
        <is>
          <t>Trapping Rain Water</t>
        </is>
      </c>
      <c r="K7" s="18" t="inlineStr">
        <is>
          <t>Hard</t>
        </is>
      </c>
      <c r="L7" s="15" t="inlineStr">
        <is>
          <t>Merge Sorted Array</t>
        </is>
      </c>
      <c r="M7" s="16" t="inlineStr">
        <is>
          <t>Easy</t>
        </is>
      </c>
      <c r="N7" s="15" t="inlineStr">
        <is>
          <t>Reverse String</t>
        </is>
      </c>
      <c r="O7" s="16" t="inlineStr">
        <is>
          <t>Easy</t>
        </is>
      </c>
      <c r="P7" s="13" t="inlineStr">
        <is>
          <t>Draw a 3-tier app: LB → app servers → DB</t>
        </is>
      </c>
      <c r="Q7" s="13" t="inlineStr">
        <is>
          <t>• Tier 1 LB, tier 2 stateless app servers, tier 3 database
• Where each tier fails and how it recovers
• What changes at 10x traffic</t>
        </is>
      </c>
      <c r="R7" s="13" t="inlineStr">
        <is>
          <t>Refactor a notification sender using SOLID</t>
        </is>
      </c>
      <c r="S7" s="13" t="inlineStr">
        <is>
          <t>AWS: Static site on S3 + EC2 app behind an ALB (terminate after!)</t>
        </is>
      </c>
      <c r="T7" s="13" t="inlineStr"/>
    </row>
    <row r="8" ht="48" customHeight="1">
      <c r="A8" s="13" t="n">
        <v>7</v>
      </c>
      <c r="B8" s="14" t="n">
        <v>46299</v>
      </c>
      <c r="C8" s="13" t="inlineStr">
        <is>
          <t>Sun</t>
        </is>
      </c>
      <c r="D8" s="13" t="inlineStr">
        <is>
          <t>Review Sunday</t>
        </is>
      </c>
      <c r="E8" s="13" t="n">
        <v>1</v>
      </c>
      <c r="F8" s="13" t="n">
        <v>1</v>
      </c>
      <c r="G8" s="13" t="inlineStr">
        <is>
          <t>Review week 1</t>
        </is>
      </c>
      <c r="H8" s="13" t="inlineStr">
        <is>
          <t>Sliding window</t>
        </is>
      </c>
      <c r="I8" s="13" t="inlineStr">
        <is>
          <t>Grow the right edge, shrink the left while the window breaks the rule; track the best window.</t>
        </is>
      </c>
      <c r="J8" s="15" t="inlineStr">
        <is>
          <t>Best Time to Buy and Sell Stock</t>
        </is>
      </c>
      <c r="K8" s="16" t="inlineStr">
        <is>
          <t>Easy</t>
        </is>
      </c>
      <c r="L8" s="15" t="inlineStr">
        <is>
          <t>Longest Substring Without Repeating Characters</t>
        </is>
      </c>
      <c r="M8" s="17" t="inlineStr">
        <is>
          <t>Medium</t>
        </is>
      </c>
      <c r="N8" s="15" t="inlineStr">
        <is>
          <t>Longest Repeating Character Replacement</t>
        </is>
      </c>
      <c r="O8" s="17" t="inlineStr">
        <is>
          <t>Medium</t>
        </is>
      </c>
      <c r="P8" s="13" t="inlineStr">
        <is>
          <t>Revise week 1 notes on one page</t>
        </is>
      </c>
      <c r="Q8" s="13" t="inlineStr">
        <is>
          <t>• One page: the web request path, scaling, LB, stateless, REST
• Say each concept in two sentences without notes
• List 3 weak spots for next week</t>
        </is>
      </c>
      <c r="R8" s="13" t="inlineStr">
        <is>
          <t>Recap: 4 OOP pillars + SOLID in your own words</t>
        </is>
      </c>
      <c r="S8" s="13" t="inlineStr">
        <is>
          <t>AWS: Delete leftover resources, check billing</t>
        </is>
      </c>
      <c r="T8" s="13" t="inlineStr"/>
    </row>
    <row r="9" ht="48" customHeight="1">
      <c r="A9" s="13" t="n">
        <v>8</v>
      </c>
      <c r="B9" s="14" t="n">
        <v>46300</v>
      </c>
      <c r="C9" s="13" t="inlineStr">
        <is>
          <t>Mon</t>
        </is>
      </c>
      <c r="D9" s="13" t="inlineStr">
        <is>
          <t>Office day</t>
        </is>
      </c>
      <c r="E9" s="13" t="n">
        <v>1</v>
      </c>
      <c r="F9" s="13" t="n">
        <v>2</v>
      </c>
      <c r="G9" s="13" t="inlineStr">
        <is>
          <t>Databases 101</t>
        </is>
      </c>
      <c r="H9" s="13" t="inlineStr">
        <is>
          <t>Sliding window</t>
        </is>
      </c>
      <c r="I9" s="13" t="inlineStr">
        <is>
          <t>Grow the right edge, shrink the left while the window breaks the rule; track the best window.</t>
        </is>
      </c>
      <c r="J9" s="15" t="inlineStr">
        <is>
          <t>Permutation in String</t>
        </is>
      </c>
      <c r="K9" s="17" t="inlineStr">
        <is>
          <t>Medium</t>
        </is>
      </c>
      <c r="L9" s="15" t="inlineStr">
        <is>
          <t>Minimum Window Substring</t>
        </is>
      </c>
      <c r="M9" s="18" t="inlineStr">
        <is>
          <t>Hard</t>
        </is>
      </c>
      <c r="N9" s="15" t="inlineStr">
        <is>
          <t>Maximum Average Subarray I</t>
        </is>
      </c>
      <c r="O9" s="16" t="inlineStr">
        <is>
          <t>Easy</t>
        </is>
      </c>
      <c r="P9" s="13" t="inlineStr">
        <is>
          <t>SQL vs NoSQL and when to pick each</t>
        </is>
      </c>
      <c r="Q9" s="13" t="inlineStr">
        <is>
          <t>• SQL: schema, joins, ACID; NoSQL: flexible schema, horizontal scale
• Pick by access pattern, consistency need and scale
• Key-value, document, wide-column and graph stores, with one example each</t>
        </is>
      </c>
      <c r="R9" s="13" t="inlineStr">
        <is>
          <t>Singleton pattern (thread-safe, for a DB connection)</t>
        </is>
      </c>
      <c r="S9" s="13" t="inlineStr">
        <is>
          <t>AWS: RDS: launch Postgres, connect from your laptop</t>
        </is>
      </c>
      <c r="T9" s="13" t="inlineStr"/>
    </row>
    <row r="10" ht="48" customHeight="1">
      <c r="A10" s="13" t="n">
        <v>9</v>
      </c>
      <c r="B10" s="14" t="n">
        <v>46301</v>
      </c>
      <c r="C10" s="13" t="inlineStr">
        <is>
          <t>Tue</t>
        </is>
      </c>
      <c r="D10" s="13" t="inlineStr">
        <is>
          <t>Office day</t>
        </is>
      </c>
      <c r="E10" s="13" t="n">
        <v>1</v>
      </c>
      <c r="F10" s="13" t="n">
        <v>2</v>
      </c>
      <c r="G10" s="13" t="inlineStr">
        <is>
          <t>Indexing</t>
        </is>
      </c>
      <c r="H10" s="13" t="inlineStr">
        <is>
          <t>Sliding window</t>
        </is>
      </c>
      <c r="I10" s="13" t="inlineStr">
        <is>
          <t>Grow the right edge, shrink the left while the window breaks the rule; track the best window.</t>
        </is>
      </c>
      <c r="J10" s="15" t="inlineStr">
        <is>
          <t>Sliding Window Maximum</t>
        </is>
      </c>
      <c r="K10" s="18" t="inlineStr">
        <is>
          <t>Hard</t>
        </is>
      </c>
      <c r="L10" s="15" t="inlineStr">
        <is>
          <t>Minimum Size Subarray Sum</t>
        </is>
      </c>
      <c r="M10" s="17" t="inlineStr">
        <is>
          <t>Medium</t>
        </is>
      </c>
      <c r="N10" s="15" t="inlineStr">
        <is>
          <t>Max Consecutive Ones III</t>
        </is>
      </c>
      <c r="O10" s="17" t="inlineStr">
        <is>
          <t>Medium</t>
        </is>
      </c>
      <c r="P10" s="13" t="inlineStr">
        <is>
          <t>Indexes, B-trees, why queries get slow</t>
        </is>
      </c>
      <c r="Q10" s="13" t="inlineStr">
        <is>
          <t>• An index is a sorted structure (B-tree) that trades write speed for read speed
• Composite index column order matters (leftmost prefix)
• Read EXPLAIN plans: full scan vs index seek</t>
        </is>
      </c>
      <c r="R10" s="13" t="inlineStr">
        <is>
          <t>Factory pattern</t>
        </is>
      </c>
      <c r="S10" s="13" t="inlineStr">
        <is>
          <t>AWS: RDS backups, snapshots, Multi-AZ</t>
        </is>
      </c>
      <c r="T10" s="13" t="inlineStr"/>
    </row>
    <row r="11" ht="48" customHeight="1">
      <c r="A11" s="13" t="n">
        <v>10</v>
      </c>
      <c r="B11" s="14" t="n">
        <v>46302</v>
      </c>
      <c r="C11" s="13" t="inlineStr">
        <is>
          <t>Wed</t>
        </is>
      </c>
      <c r="D11" s="13" t="inlineStr">
        <is>
          <t>Office day</t>
        </is>
      </c>
      <c r="E11" s="13" t="n">
        <v>1</v>
      </c>
      <c r="F11" s="13" t="n">
        <v>2</v>
      </c>
      <c r="G11" s="13" t="inlineStr">
        <is>
          <t>Replication</t>
        </is>
      </c>
      <c r="H11" s="13" t="inlineStr">
        <is>
          <t>Stack</t>
        </is>
      </c>
      <c r="I11" s="13" t="inlineStr">
        <is>
          <t>Anything 'nearest greater/smaller' or matching pairs is a monotonic or plain stack.</t>
        </is>
      </c>
      <c r="J11" s="15" t="inlineStr">
        <is>
          <t>Valid Parentheses</t>
        </is>
      </c>
      <c r="K11" s="16" t="inlineStr">
        <is>
          <t>Easy</t>
        </is>
      </c>
      <c r="L11" s="15" t="inlineStr">
        <is>
          <t>Min Stack</t>
        </is>
      </c>
      <c r="M11" s="17" t="inlineStr">
        <is>
          <t>Medium</t>
        </is>
      </c>
      <c r="N11" s="15" t="inlineStr">
        <is>
          <t>Evaluate Reverse Polish Notation</t>
        </is>
      </c>
      <c r="O11" s="17" t="inlineStr">
        <is>
          <t>Medium</t>
        </is>
      </c>
      <c r="P11" s="13" t="inlineStr">
        <is>
          <t>Primary-replica replication, read replicas, lag</t>
        </is>
      </c>
      <c r="Q11" s="13" t="inlineStr">
        <is>
          <t>• Primary takes writes, replicas serve reads
• Async replication means lag: read-your-own-writes issues
• Failover promotes a replica; watch for split brain</t>
        </is>
      </c>
      <c r="R11" s="13" t="inlineStr">
        <is>
          <t>Builder pattern</t>
        </is>
      </c>
      <c r="S11" s="13" t="inlineStr">
        <is>
          <t>AWS: RDS read replicas; DynamoDB intro</t>
        </is>
      </c>
      <c r="T11" s="13" t="inlineStr"/>
    </row>
    <row r="12" ht="48" customHeight="1">
      <c r="A12" s="13" t="n">
        <v>11</v>
      </c>
      <c r="B12" s="14" t="n">
        <v>46303</v>
      </c>
      <c r="C12" s="13" t="inlineStr">
        <is>
          <t>Thu</t>
        </is>
      </c>
      <c r="D12" s="13" t="inlineStr">
        <is>
          <t>Office day</t>
        </is>
      </c>
      <c r="E12" s="13" t="n">
        <v>1</v>
      </c>
      <c r="F12" s="13" t="n">
        <v>2</v>
      </c>
      <c r="G12" s="13" t="inlineStr">
        <is>
          <t>Sharding</t>
        </is>
      </c>
      <c r="H12" s="13" t="inlineStr">
        <is>
          <t>Stack</t>
        </is>
      </c>
      <c r="I12" s="13" t="inlineStr">
        <is>
          <t>Anything 'nearest greater/smaller' or matching pairs is a monotonic or plain stack.</t>
        </is>
      </c>
      <c r="J12" s="15" t="inlineStr">
        <is>
          <t>Generate Parentheses</t>
        </is>
      </c>
      <c r="K12" s="17" t="inlineStr">
        <is>
          <t>Medium</t>
        </is>
      </c>
      <c r="L12" s="15" t="inlineStr">
        <is>
          <t>Daily Temperatures</t>
        </is>
      </c>
      <c r="M12" s="17" t="inlineStr">
        <is>
          <t>Medium</t>
        </is>
      </c>
      <c r="N12" s="15" t="inlineStr">
        <is>
          <t>Car Fleet</t>
        </is>
      </c>
      <c r="O12" s="17" t="inlineStr">
        <is>
          <t>Medium</t>
        </is>
      </c>
      <c r="P12" s="13" t="inlineStr">
        <is>
          <t>Partitioning, shard keys, hot spots</t>
        </is>
      </c>
      <c r="Q12" s="13" t="inlineStr">
        <is>
          <t>• Shard by a key that spreads load evenly
• Hot spots come from celebrity keys or time-ordered keys
• Cross-shard queries and rebalancing are the real cost</t>
        </is>
      </c>
      <c r="R12" s="13" t="inlineStr">
        <is>
          <t>Strategy pattern (a shard-key strategy)</t>
        </is>
      </c>
      <c r="S12" s="13" t="inlineStr">
        <is>
          <t>AWS: DynamoDB partition keys and GSIs</t>
        </is>
      </c>
      <c r="T12" s="13" t="inlineStr"/>
    </row>
    <row r="13" ht="48" customHeight="1">
      <c r="A13" s="13" t="n">
        <v>12</v>
      </c>
      <c r="B13" s="14" t="n">
        <v>46304</v>
      </c>
      <c r="C13" s="13" t="inlineStr">
        <is>
          <t>Fri</t>
        </is>
      </c>
      <c r="D13" s="13" t="inlineStr">
        <is>
          <t>Light Friday</t>
        </is>
      </c>
      <c r="E13" s="13" t="n">
        <v>1</v>
      </c>
      <c r="F13" s="13" t="n">
        <v>2</v>
      </c>
      <c r="G13" s="13" t="inlineStr">
        <is>
          <t>Transactions</t>
        </is>
      </c>
      <c r="H13" s="13" t="inlineStr">
        <is>
          <t>Stack</t>
        </is>
      </c>
      <c r="I13" s="13" t="inlineStr">
        <is>
          <t>Anything 'nearest greater/smaller' or matching pairs is a monotonic or plain stack.</t>
        </is>
      </c>
      <c r="J13" s="15" t="inlineStr">
        <is>
          <t>Next Greater Element I</t>
        </is>
      </c>
      <c r="K13" s="16" t="inlineStr">
        <is>
          <t>Easy</t>
        </is>
      </c>
      <c r="L13" s="15" t="inlineStr">
        <is>
          <t>Implement Queue using Stacks</t>
        </is>
      </c>
      <c r="M13" s="16" t="inlineStr">
        <is>
          <t>Easy</t>
        </is>
      </c>
      <c r="N13" s="15" t="inlineStr">
        <is>
          <t>Simplify Path</t>
        </is>
      </c>
      <c r="O13" s="17" t="inlineStr">
        <is>
          <t>Medium</t>
        </is>
      </c>
      <c r="P13" s="13" t="inlineStr">
        <is>
          <t>ACID and isolation levels</t>
        </is>
      </c>
      <c r="Q13" s="13" t="inlineStr">
        <is>
          <t>• ACID: atomicity, consistency, isolation, durability
• Isolation levels vs anomalies: dirty read, non-repeatable read, phantom
• When to use SERIALIZABLE and what it costs</t>
        </is>
      </c>
      <c r="R13" s="13" t="inlineStr">
        <is>
          <t>Repository pattern in C#</t>
        </is>
      </c>
      <c r="S13" s="13" t="inlineStr">
        <is>
          <t>AWS: IAM roles for EC2 to read S3 without keys</t>
        </is>
      </c>
      <c r="T13" s="13" t="inlineStr"/>
    </row>
    <row r="14" ht="48" customHeight="1">
      <c r="A14" s="13" t="n">
        <v>13</v>
      </c>
      <c r="B14" s="14" t="n">
        <v>46305</v>
      </c>
      <c r="C14" s="13" t="inlineStr">
        <is>
          <t>Sat</t>
        </is>
      </c>
      <c r="D14" s="13" t="inlineStr">
        <is>
          <t>Build Saturday</t>
        </is>
      </c>
      <c r="E14" s="13" t="n">
        <v>1</v>
      </c>
      <c r="F14" s="13" t="n">
        <v>2</v>
      </c>
      <c r="G14" s="13" t="inlineStr">
        <is>
          <t>Build: library system</t>
        </is>
      </c>
      <c r="H14" s="13" t="inlineStr">
        <is>
          <t>Stack</t>
        </is>
      </c>
      <c r="I14" s="13" t="inlineStr">
        <is>
          <t>Anything 'nearest greater/smaller' or matching pairs is a monotonic or plain stack.</t>
        </is>
      </c>
      <c r="J14" s="15" t="inlineStr">
        <is>
          <t>Largest Rectangle in Histogram</t>
        </is>
      </c>
      <c r="K14" s="18" t="inlineStr">
        <is>
          <t>Hard</t>
        </is>
      </c>
      <c r="L14" s="15" t="inlineStr">
        <is>
          <t>Online Stock Span</t>
        </is>
      </c>
      <c r="M14" s="17" t="inlineStr">
        <is>
          <t>Medium</t>
        </is>
      </c>
      <c r="N14" s="15" t="inlineStr">
        <is>
          <t>Decode String</t>
        </is>
      </c>
      <c r="O14" s="17" t="inlineStr">
        <is>
          <t>Medium</t>
        </is>
      </c>
      <c r="P14" s="13" t="inlineStr">
        <is>
          <t>Design the database for a library system</t>
        </is>
      </c>
      <c r="Q14" s="13" t="inlineStr">
        <is>
          <t>• Tables: Book, Copy, Member, Loan, Reservation
• Keys, indexes and the queries they serve
• One Book has many Copies; a Loan links a Copy to a Member</t>
        </is>
      </c>
      <c r="R14" s="13" t="inlineStr">
        <is>
          <t>Library Management System LLD (classes + relationships)</t>
        </is>
      </c>
      <c r="S14" s="13" t="inlineStr">
        <is>
          <t>AWS: Connect a .NET API on EC2 to RDS</t>
        </is>
      </c>
      <c r="T14" s="13" t="inlineStr"/>
    </row>
    <row r="15" ht="48" customHeight="1">
      <c r="A15" s="13" t="n">
        <v>14</v>
      </c>
      <c r="B15" s="14" t="n">
        <v>46306</v>
      </c>
      <c r="C15" s="13" t="inlineStr">
        <is>
          <t>Sun</t>
        </is>
      </c>
      <c r="D15" s="13" t="inlineStr">
        <is>
          <t>Review Sunday</t>
        </is>
      </c>
      <c r="E15" s="13" t="n">
        <v>1</v>
      </c>
      <c r="F15" s="13" t="n">
        <v>2</v>
      </c>
      <c r="G15" s="13" t="inlineStr">
        <is>
          <t>Review week 2</t>
        </is>
      </c>
      <c r="H15" s="13" t="inlineStr">
        <is>
          <t>Binary search</t>
        </is>
      </c>
      <c r="I15" s="13" t="inlineStr">
        <is>
          <t>Search the answer space, not just arrays: find the first value where a yes/no check flips.</t>
        </is>
      </c>
      <c r="J15" s="15" t="inlineStr">
        <is>
          <t>Binary Search</t>
        </is>
      </c>
      <c r="K15" s="16" t="inlineStr">
        <is>
          <t>Easy</t>
        </is>
      </c>
      <c r="L15" s="15" t="inlineStr">
        <is>
          <t>Search Insert Position</t>
        </is>
      </c>
      <c r="M15" s="16" t="inlineStr">
        <is>
          <t>Easy</t>
        </is>
      </c>
      <c r="N15" s="15" t="inlineStr">
        <is>
          <t>Search a 2D Matrix</t>
        </is>
      </c>
      <c r="O15" s="17" t="inlineStr">
        <is>
          <t>Medium</t>
        </is>
      </c>
      <c r="P15" s="13" t="inlineStr">
        <is>
          <t>CAP theorem basics + revise week 2</t>
        </is>
      </c>
      <c r="Q15" s="13" t="inlineStr">
        <is>
          <t>• CAP: during a partition choose consistency or availability
• CP vs AP examples (bank ledger vs shopping cart)
• Revise databases week on one page</t>
        </is>
      </c>
      <c r="R15" s="13" t="inlineStr">
        <is>
          <t>Recap: Singleton, Factory, Builder, Strategy, Repository</t>
        </is>
      </c>
      <c r="S15" s="13" t="inlineStr">
        <is>
          <t>AWS: Clean up; draw your AWS setup so far</t>
        </is>
      </c>
      <c r="T15" s="13" t="inlineStr"/>
    </row>
    <row r="16" ht="48" customHeight="1">
      <c r="A16" s="13" t="n">
        <v>15</v>
      </c>
      <c r="B16" s="14" t="n">
        <v>46307</v>
      </c>
      <c r="C16" s="13" t="inlineStr">
        <is>
          <t>Mon</t>
        </is>
      </c>
      <c r="D16" s="13" t="inlineStr">
        <is>
          <t>Office day</t>
        </is>
      </c>
      <c r="E16" s="13" t="n">
        <v>1</v>
      </c>
      <c r="F16" s="13" t="n">
        <v>3</v>
      </c>
      <c r="G16" s="13" t="inlineStr">
        <is>
          <t>Caching</t>
        </is>
      </c>
      <c r="H16" s="13" t="inlineStr">
        <is>
          <t>Linked list</t>
        </is>
      </c>
      <c r="I16" s="13" t="inlineStr">
        <is>
          <t>Draw it. Dummy head for edits, slow/fast pointers for middle and cycles, reverse in place.</t>
        </is>
      </c>
      <c r="J16" s="15" t="inlineStr">
        <is>
          <t>LRU Cache</t>
        </is>
      </c>
      <c r="K16" s="17" t="inlineStr">
        <is>
          <t>Medium</t>
        </is>
      </c>
      <c r="L16" s="15" t="inlineStr">
        <is>
          <t>Reverse Linked List</t>
        </is>
      </c>
      <c r="M16" s="16" t="inlineStr">
        <is>
          <t>Easy</t>
        </is>
      </c>
      <c r="N16" s="15" t="inlineStr">
        <is>
          <t>Merge Two Sorted Lists</t>
        </is>
      </c>
      <c r="O16" s="16" t="inlineStr">
        <is>
          <t>Easy</t>
        </is>
      </c>
      <c r="P16" s="13" t="inlineStr">
        <is>
          <t>Caching basics: where to cache, hit/miss</t>
        </is>
      </c>
      <c r="Q16" s="13" t="inlineStr">
        <is>
          <t>• Cache what is read often and changes rarely
• Hit ratio, latency win and staleness risk
• Layers: browser, CDN, app memory, Redis, DB buffer pool</t>
        </is>
      </c>
      <c r="R16" s="13" t="inlineStr">
        <is>
          <t>LRU cache design: HashMap + doubly linked list</t>
        </is>
      </c>
      <c r="S16" s="13" t="inlineStr">
        <is>
          <t>AWS: ElastiCache (Redis) intro</t>
        </is>
      </c>
      <c r="T16" s="13" t="inlineStr"/>
    </row>
    <row r="17" ht="48" customHeight="1">
      <c r="A17" s="13" t="n">
        <v>16</v>
      </c>
      <c r="B17" s="14" t="n">
        <v>46308</v>
      </c>
      <c r="C17" s="13" t="inlineStr">
        <is>
          <t>Tue</t>
        </is>
      </c>
      <c r="D17" s="13" t="inlineStr">
        <is>
          <t>Office day</t>
        </is>
      </c>
      <c r="E17" s="13" t="n">
        <v>1</v>
      </c>
      <c r="F17" s="13" t="n">
        <v>3</v>
      </c>
      <c r="G17" s="13" t="inlineStr">
        <is>
          <t>Cache strategies</t>
        </is>
      </c>
      <c r="H17" s="13" t="inlineStr">
        <is>
          <t>Linked list</t>
        </is>
      </c>
      <c r="I17" s="13" t="inlineStr">
        <is>
          <t>Draw it. Dummy head for edits, slow/fast pointers for middle and cycles, reverse in place.</t>
        </is>
      </c>
      <c r="J17" s="15" t="inlineStr">
        <is>
          <t>Linked List Cycle</t>
        </is>
      </c>
      <c r="K17" s="16" t="inlineStr">
        <is>
          <t>Easy</t>
        </is>
      </c>
      <c r="L17" s="15" t="inlineStr">
        <is>
          <t>Reorder List</t>
        </is>
      </c>
      <c r="M17" s="17" t="inlineStr">
        <is>
          <t>Medium</t>
        </is>
      </c>
      <c r="N17" s="15" t="inlineStr">
        <is>
          <t>Remove Nth Node From End of List</t>
        </is>
      </c>
      <c r="O17" s="17" t="inlineStr">
        <is>
          <t>Medium</t>
        </is>
      </c>
      <c r="P17" s="13" t="inlineStr">
        <is>
          <t>Cache-aside, write-through, write-back, TTL, eviction</t>
        </is>
      </c>
      <c r="Q17" s="13" t="inlineStr">
        <is>
          <t>• Cache-aside, write-through, write-back and when each loses data
• TTLs and eviction (LRU / LFU)
• Stampede protection: locks, jitter, early refresh</t>
        </is>
      </c>
      <c r="R17" s="13" t="inlineStr">
        <is>
          <t>Decorator pattern: a caching repository</t>
        </is>
      </c>
      <c r="S17" s="13" t="inlineStr">
        <is>
          <t>AWS: Use Redis from a .NET API</t>
        </is>
      </c>
      <c r="T17" s="13" t="inlineStr"/>
    </row>
    <row r="18" ht="48" customHeight="1">
      <c r="A18" s="13" t="n">
        <v>17</v>
      </c>
      <c r="B18" s="14" t="n">
        <v>46309</v>
      </c>
      <c r="C18" s="13" t="inlineStr">
        <is>
          <t>Wed</t>
        </is>
      </c>
      <c r="D18" s="13" t="inlineStr">
        <is>
          <t>Office day</t>
        </is>
      </c>
      <c r="E18" s="13" t="n">
        <v>1</v>
      </c>
      <c r="F18" s="13" t="n">
        <v>3</v>
      </c>
      <c r="G18" s="13" t="inlineStr">
        <is>
          <t>CDN</t>
        </is>
      </c>
      <c r="H18" s="13" t="inlineStr">
        <is>
          <t>Linked list</t>
        </is>
      </c>
      <c r="I18" s="13" t="inlineStr">
        <is>
          <t>Draw it. Dummy head for edits, slow/fast pointers for middle and cycles, reverse in place.</t>
        </is>
      </c>
      <c r="J18" s="15" t="inlineStr">
        <is>
          <t>Copy List with Random Pointer</t>
        </is>
      </c>
      <c r="K18" s="17" t="inlineStr">
        <is>
          <t>Medium</t>
        </is>
      </c>
      <c r="L18" s="15" t="inlineStr">
        <is>
          <t>Add Two Numbers</t>
        </is>
      </c>
      <c r="M18" s="17" t="inlineStr">
        <is>
          <t>Medium</t>
        </is>
      </c>
      <c r="N18" s="15" t="inlineStr">
        <is>
          <t>Find the Duplicate Number</t>
        </is>
      </c>
      <c r="O18" s="17" t="inlineStr">
        <is>
          <t>Medium</t>
        </is>
      </c>
      <c r="P18" s="13" t="inlineStr">
        <is>
          <t>CDNs and edge caching</t>
        </is>
      </c>
      <c r="Q18" s="13" t="inlineStr">
        <is>
          <t>• CDNs serve static content from edge locations near users
• Cache keys, TTL and invalidation at the edge
• Push vs pull CDN</t>
        </is>
      </c>
      <c r="R18" s="13" t="inlineStr">
        <is>
          <t>Proxy pattern</t>
        </is>
      </c>
      <c r="S18" s="13" t="inlineStr">
        <is>
          <t>AWS: CloudFront in front of S3</t>
        </is>
      </c>
      <c r="T18" s="13" t="inlineStr"/>
    </row>
    <row r="19" ht="48" customHeight="1">
      <c r="A19" s="13" t="n">
        <v>18</v>
      </c>
      <c r="B19" s="14" t="n">
        <v>46310</v>
      </c>
      <c r="C19" s="13" t="inlineStr">
        <is>
          <t>Thu</t>
        </is>
      </c>
      <c r="D19" s="13" t="inlineStr">
        <is>
          <t>Office day</t>
        </is>
      </c>
      <c r="E19" s="13" t="n">
        <v>1</v>
      </c>
      <c r="F19" s="13" t="n">
        <v>3</v>
      </c>
      <c r="G19" s="13" t="inlineStr">
        <is>
          <t>Consistency</t>
        </is>
      </c>
      <c r="H19" s="13" t="inlineStr">
        <is>
          <t>Binary search</t>
        </is>
      </c>
      <c r="I19" s="13" t="inlineStr">
        <is>
          <t>Search the answer space, not just arrays: find the first value where a yes/no check flips.</t>
        </is>
      </c>
      <c r="J19" s="15" t="inlineStr">
        <is>
          <t>Koko Eating Bananas</t>
        </is>
      </c>
      <c r="K19" s="17" t="inlineStr">
        <is>
          <t>Medium</t>
        </is>
      </c>
      <c r="L19" s="15" t="inlineStr">
        <is>
          <t>Find Minimum in Rotated Sorted Array</t>
        </is>
      </c>
      <c r="M19" s="17" t="inlineStr">
        <is>
          <t>Medium</t>
        </is>
      </c>
      <c r="N19" s="15" t="inlineStr">
        <is>
          <t>Search in Rotated Sorted Array</t>
        </is>
      </c>
      <c r="O19" s="17" t="inlineStr">
        <is>
          <t>Medium</t>
        </is>
      </c>
      <c r="P19" s="13" t="inlineStr">
        <is>
          <t>Strong vs eventual consistency, cache invalidation</t>
        </is>
      </c>
      <c r="Q19" s="13" t="inlineStr">
        <is>
          <t>• Strong consistency: every read sees the latest write
• Eventual consistency: replicas converge later
• Cache invalidation on update: delete vs update the key</t>
        </is>
      </c>
      <c r="R19" s="13" t="inlineStr">
        <is>
          <t>Observer pattern (invalidate on update)</t>
        </is>
      </c>
      <c r="S19" s="13" t="inlineStr">
        <is>
          <t>AWS: Route 53 and routing policies</t>
        </is>
      </c>
      <c r="T19" s="13" t="inlineStr"/>
    </row>
    <row r="20" ht="48" customHeight="1">
      <c r="A20" s="13" t="n">
        <v>19</v>
      </c>
      <c r="B20" s="14" t="n">
        <v>46311</v>
      </c>
      <c r="C20" s="13" t="inlineStr">
        <is>
          <t>Fri</t>
        </is>
      </c>
      <c r="D20" s="13" t="inlineStr">
        <is>
          <t>Light Friday</t>
        </is>
      </c>
      <c r="E20" s="13" t="n">
        <v>1</v>
      </c>
      <c r="F20" s="13" t="n">
        <v>3</v>
      </c>
      <c r="G20" s="13" t="inlineStr">
        <is>
          <t>Rate limiting</t>
        </is>
      </c>
      <c r="H20" s="13" t="inlineStr">
        <is>
          <t>Binary search</t>
        </is>
      </c>
      <c r="I20" s="13" t="inlineStr">
        <is>
          <t>Search the answer space, not just arrays: find the first value where a yes/no check flips.</t>
        </is>
      </c>
      <c r="J20" s="15" t="inlineStr">
        <is>
          <t>Time Based Key-Value Store</t>
        </is>
      </c>
      <c r="K20" s="17" t="inlineStr">
        <is>
          <t>Medium</t>
        </is>
      </c>
      <c r="L20" s="15" t="inlineStr">
        <is>
          <t>Find First and Last Position of Element in Sorted Array</t>
        </is>
      </c>
      <c r="M20" s="17" t="inlineStr">
        <is>
          <t>Medium</t>
        </is>
      </c>
      <c r="N20" s="15" t="inlineStr">
        <is>
          <t>Sqrt(x)</t>
        </is>
      </c>
      <c r="O20" s="16" t="inlineStr">
        <is>
          <t>Easy</t>
        </is>
      </c>
      <c r="P20" s="13" t="inlineStr">
        <is>
          <t>Token bucket, leaky bucket, sliding window</t>
        </is>
      </c>
      <c r="Q20" s="13" t="inlineStr">
        <is>
          <t>• Token bucket allows bursts; leaky bucket smooths output
• Fixed window vs sliding window log vs sliding window counter
• Where to enforce: gateway, service, per user or per IP</t>
        </is>
      </c>
      <c r="R20" s="13" t="inlineStr">
        <is>
          <t>Design a RateLimiter class</t>
        </is>
      </c>
      <c r="S20" s="13" t="inlineStr">
        <is>
          <t>AWS: API Gateway throttling overview</t>
        </is>
      </c>
      <c r="T20" s="13" t="inlineStr"/>
    </row>
    <row r="21" ht="48" customHeight="1">
      <c r="A21" s="13" t="n">
        <v>20</v>
      </c>
      <c r="B21" s="14" t="n">
        <v>46312</v>
      </c>
      <c r="C21" s="13" t="inlineStr">
        <is>
          <t>Sat</t>
        </is>
      </c>
      <c r="D21" s="13" t="inlineStr">
        <is>
          <t>Build Saturday</t>
        </is>
      </c>
      <c r="E21" s="13" t="n">
        <v>1</v>
      </c>
      <c r="F21" s="13" t="n">
        <v>3</v>
      </c>
      <c r="G21" s="13" t="inlineStr">
        <is>
          <t>Build: rate limiter</t>
        </is>
      </c>
      <c r="H21" s="13" t="inlineStr">
        <is>
          <t>Linked list</t>
        </is>
      </c>
      <c r="I21" s="13" t="inlineStr">
        <is>
          <t>Draw it. Dummy head for edits, slow/fast pointers for middle and cycles, reverse in place.</t>
        </is>
      </c>
      <c r="J21" s="15" t="inlineStr">
        <is>
          <t>Merge k Sorted Lists</t>
        </is>
      </c>
      <c r="K21" s="18" t="inlineStr">
        <is>
          <t>Hard</t>
        </is>
      </c>
      <c r="L21" s="15" t="inlineStr">
        <is>
          <t>Intersection of Two Linked Lists</t>
        </is>
      </c>
      <c r="M21" s="16" t="inlineStr">
        <is>
          <t>Easy</t>
        </is>
      </c>
      <c r="N21" s="15" t="inlineStr">
        <is>
          <t>Palindrome Linked List</t>
        </is>
      </c>
      <c r="O21" s="16" t="inlineStr">
        <is>
          <t>Easy</t>
        </is>
      </c>
      <c r="P21" s="13" t="inlineStr">
        <is>
          <t>Design a rate limiter end to end</t>
        </is>
      </c>
      <c r="Q21" s="13" t="inlineStr">
        <is>
          <t>• Requirements: per-user limits, low latency, distributed
• Redis counters with expiry, atomic Lua scripts
• Return 429 with a Retry-After header</t>
        </is>
      </c>
      <c r="R21" s="13" t="inlineStr">
        <is>
          <t>Implement token bucket in C# with unit tests</t>
        </is>
      </c>
      <c r="S21" s="13" t="inlineStr">
        <is>
          <t>AWS: CloudFront + S3 + Route 53 together</t>
        </is>
      </c>
      <c r="T21" s="13" t="inlineStr"/>
    </row>
    <row r="22" ht="48" customHeight="1">
      <c r="A22" s="13" t="n">
        <v>21</v>
      </c>
      <c r="B22" s="14" t="n">
        <v>46313</v>
      </c>
      <c r="C22" s="13" t="inlineStr">
        <is>
          <t>Sun</t>
        </is>
      </c>
      <c r="D22" s="13" t="inlineStr">
        <is>
          <t>Review Sunday</t>
        </is>
      </c>
      <c r="E22" s="13" t="n">
        <v>1</v>
      </c>
      <c r="F22" s="13" t="n">
        <v>3</v>
      </c>
      <c r="G22" s="13" t="inlineStr">
        <is>
          <t>Review week 3</t>
        </is>
      </c>
      <c r="H22" s="13" t="inlineStr">
        <is>
          <t>Linked list</t>
        </is>
      </c>
      <c r="I22" s="13" t="inlineStr">
        <is>
          <t>Draw it. Dummy head for edits, slow/fast pointers for middle and cycles, reverse in place.</t>
        </is>
      </c>
      <c r="J22" s="15" t="inlineStr">
        <is>
          <t>Middle of the Linked List</t>
        </is>
      </c>
      <c r="K22" s="16" t="inlineStr">
        <is>
          <t>Easy</t>
        </is>
      </c>
      <c r="L22" s="15" t="inlineStr">
        <is>
          <t>Remove Linked List Elements</t>
        </is>
      </c>
      <c r="M22" s="16" t="inlineStr">
        <is>
          <t>Easy</t>
        </is>
      </c>
      <c r="N22" s="15" t="inlineStr">
        <is>
          <t>Reverse Linked List II</t>
        </is>
      </c>
      <c r="O22" s="17" t="inlineStr">
        <is>
          <t>Medium</t>
        </is>
      </c>
      <c r="P22" s="13" t="inlineStr">
        <is>
          <t>Revise caching, CDN, consistency</t>
        </is>
      </c>
      <c r="Q22" s="13" t="inlineStr">
        <is>
          <t>• Revise caching, CDN and consistency on one page
• Explain cache invalidation out loud
• List weak spots</t>
        </is>
      </c>
      <c r="R22" s="13" t="inlineStr">
        <is>
          <t>Recap: LRU, Decorator, Proxy, Observer</t>
        </is>
      </c>
      <c r="S22" s="13" t="inlineStr">
        <is>
          <t>AWS: Clean up, check billing</t>
        </is>
      </c>
      <c r="T22" s="13" t="inlineStr"/>
    </row>
    <row r="23" ht="48" customHeight="1">
      <c r="A23" s="13" t="n">
        <v>22</v>
      </c>
      <c r="B23" s="14" t="n">
        <v>46314</v>
      </c>
      <c r="C23" s="13" t="inlineStr">
        <is>
          <t>Mon</t>
        </is>
      </c>
      <c r="D23" s="13" t="inlineStr">
        <is>
          <t>Office day</t>
        </is>
      </c>
      <c r="E23" s="13" t="n">
        <v>1</v>
      </c>
      <c r="F23" s="13" t="n">
        <v>4</v>
      </c>
      <c r="G23" s="13" t="inlineStr">
        <is>
          <t>Async processing</t>
        </is>
      </c>
      <c r="H23" s="13" t="inlineStr">
        <is>
          <t>Prefix sum</t>
        </is>
      </c>
      <c r="I23" s="13" t="inlineStr">
        <is>
          <t>sum(i..j) = prefix[j+1] - prefix[i]; a HashMap of prefix counts finds subarrays with target sums.</t>
        </is>
      </c>
      <c r="J23" s="15" t="inlineStr">
        <is>
          <t>Subarray Sum Equals K</t>
        </is>
      </c>
      <c r="K23" s="17" t="inlineStr">
        <is>
          <t>Medium</t>
        </is>
      </c>
      <c r="L23" s="15" t="inlineStr">
        <is>
          <t>Range Sum Query - Immutable</t>
        </is>
      </c>
      <c r="M23" s="16" t="inlineStr">
        <is>
          <t>Easy</t>
        </is>
      </c>
      <c r="N23" s="15" t="inlineStr">
        <is>
          <t>Find Pivot Index</t>
        </is>
      </c>
      <c r="O23" s="16" t="inlineStr">
        <is>
          <t>Easy</t>
        </is>
      </c>
      <c r="P23" s="13" t="inlineStr">
        <is>
          <t>Message queues, producers and consumers</t>
        </is>
      </c>
      <c r="Q23" s="13" t="inlineStr">
        <is>
          <t>• Queues decouple producers from consumers and absorb spikes
• Consumers scale independently; backpressure
• Ordering vs throughput trade-off</t>
        </is>
      </c>
      <c r="R23" s="13" t="inlineStr">
        <is>
          <t>Producer–consumer in C# with Channels</t>
        </is>
      </c>
      <c r="S23" s="13" t="inlineStr">
        <is>
          <t>AWS: SQS standard vs FIFO</t>
        </is>
      </c>
      <c r="T23" s="13" t="inlineStr"/>
    </row>
    <row r="24" ht="48" customHeight="1">
      <c r="A24" s="13" t="n">
        <v>23</v>
      </c>
      <c r="B24" s="14" t="n">
        <v>46315</v>
      </c>
      <c r="C24" s="13" t="inlineStr">
        <is>
          <t>Tue</t>
        </is>
      </c>
      <c r="D24" s="13" t="inlineStr">
        <is>
          <t>Office day</t>
        </is>
      </c>
      <c r="E24" s="13" t="n">
        <v>1</v>
      </c>
      <c r="F24" s="13" t="n">
        <v>4</v>
      </c>
      <c r="G24" s="13" t="inlineStr">
        <is>
          <t>Pub/sub</t>
        </is>
      </c>
      <c r="H24" s="13" t="inlineStr">
        <is>
          <t>Prefix sum</t>
        </is>
      </c>
      <c r="I24" s="13" t="inlineStr">
        <is>
          <t>sum(i..j) = prefix[j+1] - prefix[i]; a HashMap of prefix counts finds subarrays with target sums.</t>
        </is>
      </c>
      <c r="J24" s="15" t="inlineStr">
        <is>
          <t>Contiguous Array</t>
        </is>
      </c>
      <c r="K24" s="17" t="inlineStr">
        <is>
          <t>Medium</t>
        </is>
      </c>
      <c r="L24" s="15" t="inlineStr">
        <is>
          <t>Subarray Sums Divisible by K</t>
        </is>
      </c>
      <c r="M24" s="17" t="inlineStr">
        <is>
          <t>Medium</t>
        </is>
      </c>
      <c r="N24" s="15" t="inlineStr">
        <is>
          <t>Find All Anagrams in a String</t>
        </is>
      </c>
      <c r="O24" s="17" t="inlineStr">
        <is>
          <t>Medium</t>
        </is>
      </c>
      <c r="P24" s="13" t="inlineStr">
        <is>
          <t>Pub/sub vs queues, fan-out</t>
        </is>
      </c>
      <c r="Q24" s="13" t="inlineStr">
        <is>
          <t>• Queue = one consumer gets each message; pub/sub = every subscriber gets it
• Fan-out: one event feeds many services
• Topics, subscriptions and filters</t>
        </is>
      </c>
      <c r="R24" s="13" t="inlineStr">
        <is>
          <t>Build an in-memory event bus in C#</t>
        </is>
      </c>
      <c r="S24" s="13" t="inlineStr">
        <is>
          <t>AWS: SNS + SNS→SQS fan-out</t>
        </is>
      </c>
      <c r="T24" s="13" t="inlineStr"/>
    </row>
    <row r="25" ht="48" customHeight="1">
      <c r="A25" s="13" t="n">
        <v>24</v>
      </c>
      <c r="B25" s="14" t="n">
        <v>46316</v>
      </c>
      <c r="C25" s="13" t="inlineStr">
        <is>
          <t>Wed</t>
        </is>
      </c>
      <c r="D25" s="13" t="inlineStr">
        <is>
          <t>Office day</t>
        </is>
      </c>
      <c r="E25" s="13" t="n">
        <v>1</v>
      </c>
      <c r="F25" s="13" t="n">
        <v>4</v>
      </c>
      <c r="G25" s="13" t="inlineStr">
        <is>
          <t>Delivery guarantees</t>
        </is>
      </c>
      <c r="H25" s="13" t="inlineStr">
        <is>
          <t>Binary search</t>
        </is>
      </c>
      <c r="I25" s="13" t="inlineStr">
        <is>
          <t>Search the answer space, not just arrays: find the first value where a yes/no check flips.</t>
        </is>
      </c>
      <c r="J25" s="15" t="inlineStr">
        <is>
          <t>Find Peak Element</t>
        </is>
      </c>
      <c r="K25" s="17" t="inlineStr">
        <is>
          <t>Medium</t>
        </is>
      </c>
      <c r="L25" s="15" t="inlineStr">
        <is>
          <t>Single Element in a Sorted Array</t>
        </is>
      </c>
      <c r="M25" s="17" t="inlineStr">
        <is>
          <t>Medium</t>
        </is>
      </c>
      <c r="N25" s="15" t="inlineStr">
        <is>
          <t>Capacity To Ship Packages Within D Days</t>
        </is>
      </c>
      <c r="O25" s="17" t="inlineStr">
        <is>
          <t>Medium</t>
        </is>
      </c>
      <c r="P25" s="13" t="inlineStr">
        <is>
          <t>At-least-once, exactly-once, idempotency, dead-letter queues</t>
        </is>
      </c>
      <c r="Q25" s="13" t="inlineStr">
        <is>
          <t>• At-least-once delivery means duplicates: make consumers idempotent
• Exactly-once is expensive; dedupe keys are usually enough
• Dead-letter queues catch poison messages; visibility timeout controls retries</t>
        </is>
      </c>
      <c r="R25" s="13" t="inlineStr">
        <is>
          <t>Command pattern for retryable jobs</t>
        </is>
      </c>
      <c r="S25" s="13" t="inlineStr">
        <is>
          <t>AWS: SQS dead-letter queue, visibility timeout</t>
        </is>
      </c>
      <c r="T25" s="13" t="inlineStr"/>
    </row>
    <row r="26" ht="62" customHeight="1">
      <c r="A26" s="13" t="n">
        <v>25</v>
      </c>
      <c r="B26" s="14" t="n">
        <v>46317</v>
      </c>
      <c r="C26" s="13" t="inlineStr">
        <is>
          <t>Thu</t>
        </is>
      </c>
      <c r="D26" s="13" t="inlineStr">
        <is>
          <t>Office day</t>
        </is>
      </c>
      <c r="E26" s="13" t="n">
        <v>1</v>
      </c>
      <c r="F26" s="13" t="n">
        <v>4</v>
      </c>
      <c r="G26" s="13" t="inlineStr">
        <is>
          <t>Phase 1 checkpoint</t>
        </is>
      </c>
      <c r="H26" s="13" t="inlineStr">
        <is>
          <t>Arrays &amp; matrix</t>
        </is>
      </c>
      <c r="I26" s="13" t="inlineStr">
        <is>
          <t>In-place tricks: reverse segments, swap by index, use the first row/column as markers.</t>
        </is>
      </c>
      <c r="J26" s="15" t="inlineStr">
        <is>
          <t>Sort Colors</t>
        </is>
      </c>
      <c r="K26" s="17" t="inlineStr">
        <is>
          <t>Medium</t>
        </is>
      </c>
      <c r="L26" s="15" t="inlineStr">
        <is>
          <t>Rotate Array</t>
        </is>
      </c>
      <c r="M26" s="17" t="inlineStr">
        <is>
          <t>Medium</t>
        </is>
      </c>
      <c r="N26" s="15" t="inlineStr">
        <is>
          <t>Rotate Image</t>
        </is>
      </c>
      <c r="O26" s="17" t="inlineStr">
        <is>
          <t>Medium</t>
        </is>
      </c>
      <c r="P26" s="13" t="inlineStr">
        <is>
          <t>Design a basic notification system</t>
        </is>
      </c>
      <c r="Q26" s="13" t="inlineStr">
        <is>
          <t>• Channels (email, SMS, push) behind one interface
• Queue per channel, retries with backoff, user preferences
• Checkpoint: explain it in 10 minutes</t>
        </is>
      </c>
      <c r="R26" s="13" t="inlineStr">
        <is>
          <t>Notification service LLD: Strategy for channels + Observer</t>
        </is>
      </c>
      <c r="S26" s="13" t="inlineStr">
        <is>
          <t>AWS: AWS Cloud Practitioner practice test</t>
        </is>
      </c>
      <c r="T26" s="13" t="inlineStr">
        <is>
          <t>• Solve 3 new mediums from Phase 1 patterns in 90 minutes
• Explain a 3-tier app, caching and queues in 10 minutes without notes
• Code a SOLID notification sender in C# with tests
• AWS Cloud Practitioner practice test: 70%+</t>
        </is>
      </c>
    </row>
    <row r="27" ht="48" customHeight="1">
      <c r="A27" s="13" t="n">
        <v>26</v>
      </c>
      <c r="B27" s="14" t="n">
        <v>46318</v>
      </c>
      <c r="C27" s="13" t="inlineStr">
        <is>
          <t>Fri</t>
        </is>
      </c>
      <c r="D27" s="13" t="inlineStr">
        <is>
          <t>Light Friday</t>
        </is>
      </c>
      <c r="E27" s="13" t="n">
        <v>2</v>
      </c>
      <c r="F27" s="13" t="n">
        <v>4</v>
      </c>
      <c r="G27" s="13" t="inlineStr">
        <is>
          <t>Serverless</t>
        </is>
      </c>
      <c r="H27" s="13" t="inlineStr">
        <is>
          <t>Trees</t>
        </is>
      </c>
      <c r="I27" s="13" t="inlineStr">
        <is>
          <t>Recursion returns what the parent needs; DFS for depth/paths, BFS (queue) for levels.</t>
        </is>
      </c>
      <c r="J27" s="15" t="inlineStr">
        <is>
          <t>Invert Binary Tree</t>
        </is>
      </c>
      <c r="K27" s="16" t="inlineStr">
        <is>
          <t>Easy</t>
        </is>
      </c>
      <c r="L27" s="15" t="inlineStr">
        <is>
          <t>Maximum Depth of Binary Tree</t>
        </is>
      </c>
      <c r="M27" s="16" t="inlineStr">
        <is>
          <t>Easy</t>
        </is>
      </c>
      <c r="N27" s="15" t="inlineStr">
        <is>
          <t>Same Tree</t>
        </is>
      </c>
      <c r="O27" s="16" t="inlineStr">
        <is>
          <t>Easy</t>
        </is>
      </c>
      <c r="P27" s="13" t="inlineStr">
        <is>
          <t>Serverless vs servers: trade-offs</t>
        </is>
      </c>
      <c r="Q27" s="13" t="inlineStr">
        <is>
          <t>• Serverless: no servers to manage, pay per call, scales to zero
• Cold starts, time limits and vendor lock-in
• Good for spiky, event-driven work</t>
        </is>
      </c>
      <c r="R27" s="13" t="inlineStr">
        <is>
          <t>Template Method pattern</t>
        </is>
      </c>
      <c r="S27" s="13" t="inlineStr">
        <is>
          <t>AWS: Lambda: deploy a .NET function</t>
        </is>
      </c>
      <c r="T27" s="13" t="inlineStr"/>
    </row>
    <row r="28" ht="48" customHeight="1">
      <c r="A28" s="13" t="n">
        <v>27</v>
      </c>
      <c r="B28" s="14" t="n">
        <v>46319</v>
      </c>
      <c r="C28" s="13" t="inlineStr">
        <is>
          <t>Sat</t>
        </is>
      </c>
      <c r="D28" s="13" t="inlineStr">
        <is>
          <t>Build Saturday</t>
        </is>
      </c>
      <c r="E28" s="13" t="n">
        <v>2</v>
      </c>
      <c r="F28" s="13" t="n">
        <v>4</v>
      </c>
      <c r="G28" s="13" t="inlineStr">
        <is>
          <t>Build: image pipeline</t>
        </is>
      </c>
      <c r="H28" s="13" t="inlineStr">
        <is>
          <t>Trees</t>
        </is>
      </c>
      <c r="I28" s="13" t="inlineStr">
        <is>
          <t>Recursion returns what the parent needs; DFS for depth/paths, BFS (queue) for levels.</t>
        </is>
      </c>
      <c r="J28" s="15" t="inlineStr">
        <is>
          <t>Diameter of Binary Tree</t>
        </is>
      </c>
      <c r="K28" s="16" t="inlineStr">
        <is>
          <t>Easy</t>
        </is>
      </c>
      <c r="L28" s="15" t="inlineStr">
        <is>
          <t>Balanced Binary Tree</t>
        </is>
      </c>
      <c r="M28" s="16" t="inlineStr">
        <is>
          <t>Easy</t>
        </is>
      </c>
      <c r="N28" s="15" t="inlineStr">
        <is>
          <t>Subtree of Another Tree</t>
        </is>
      </c>
      <c r="O28" s="16" t="inlineStr">
        <is>
          <t>Easy</t>
        </is>
      </c>
      <c r="P28" s="13" t="inlineStr">
        <is>
          <t>Design an image upload + thumbnail pipeline</t>
        </is>
      </c>
      <c r="Q28" s="13" t="inlineStr">
        <is>
          <t>• Upload to object storage, event triggers processing
• Thumbnails generated asynchronously
• Store metadata in a DB; serve images through a CDN</t>
        </is>
      </c>
      <c r="R28" s="13" t="inlineStr">
        <is>
          <t>Chain of Responsibility for processing steps</t>
        </is>
      </c>
      <c r="S28" s="13" t="inlineStr">
        <is>
          <t>AWS: S3 upload triggers a Lambda</t>
        </is>
      </c>
      <c r="T28" s="13" t="inlineStr"/>
    </row>
    <row r="29" ht="48" customHeight="1">
      <c r="A29" s="13" t="n">
        <v>28</v>
      </c>
      <c r="B29" s="14" t="n">
        <v>46320</v>
      </c>
      <c r="C29" s="13" t="inlineStr">
        <is>
          <t>Sun</t>
        </is>
      </c>
      <c r="D29" s="13" t="inlineStr">
        <is>
          <t>Review Sunday</t>
        </is>
      </c>
      <c r="E29" s="13" t="n">
        <v>2</v>
      </c>
      <c r="F29" s="13" t="n">
        <v>4</v>
      </c>
      <c r="G29" s="13" t="inlineStr">
        <is>
          <t>Review week 4</t>
        </is>
      </c>
      <c r="H29" s="13" t="inlineStr">
        <is>
          <t>Trees</t>
        </is>
      </c>
      <c r="I29" s="13" t="inlineStr">
        <is>
          <t>Recursion returns what the parent needs; DFS for depth/paths, BFS (queue) for levels.</t>
        </is>
      </c>
      <c r="J29" s="15" t="inlineStr">
        <is>
          <t>Symmetric Tree</t>
        </is>
      </c>
      <c r="K29" s="16" t="inlineStr">
        <is>
          <t>Easy</t>
        </is>
      </c>
      <c r="L29" s="15" t="inlineStr">
        <is>
          <t>Path Sum</t>
        </is>
      </c>
      <c r="M29" s="16" t="inlineStr">
        <is>
          <t>Easy</t>
        </is>
      </c>
      <c r="N29" s="15" t="inlineStr">
        <is>
          <t>Binary Tree Paths</t>
        </is>
      </c>
      <c r="O29" s="16" t="inlineStr">
        <is>
          <t>Easy</t>
        </is>
      </c>
      <c r="P29" s="13" t="inlineStr">
        <is>
          <t>Revise all of Phase 1 on one page</t>
        </is>
      </c>
      <c r="Q29" s="13" t="inlineStr">
        <is>
          <t>• Revise all of Phase 1 on one page
• Re-draw 3-tier app, cache, queue and rate limiter
• Pick the 3 weakest topics</t>
        </is>
      </c>
      <c r="R29" s="13" t="inlineStr">
        <is>
          <t>Recap: all patterns so far, one line each</t>
        </is>
      </c>
      <c r="S29" s="13" t="inlineStr">
        <is>
          <t>AWS: Clean up, check billing</t>
        </is>
      </c>
      <c r="T29" s="13" t="inlineStr"/>
    </row>
    <row r="30" ht="48" customHeight="1">
      <c r="A30" s="13" t="n">
        <v>29</v>
      </c>
      <c r="B30" s="14" t="n">
        <v>46321</v>
      </c>
      <c r="C30" s="13" t="inlineStr">
        <is>
          <t>Mon</t>
        </is>
      </c>
      <c r="D30" s="13" t="inlineStr">
        <is>
          <t>Office day</t>
        </is>
      </c>
      <c r="E30" s="13" t="n">
        <v>2</v>
      </c>
      <c r="F30" s="13" t="n">
        <v>5</v>
      </c>
      <c r="G30" s="13" t="inlineStr">
        <is>
          <t>API gateway</t>
        </is>
      </c>
      <c r="H30" s="13" t="inlineStr">
        <is>
          <t>Trees</t>
        </is>
      </c>
      <c r="I30" s="13" t="inlineStr">
        <is>
          <t>Recursion returns what the parent needs; DFS for depth/paths, BFS (queue) for levels.</t>
        </is>
      </c>
      <c r="J30" s="15" t="inlineStr">
        <is>
          <t>Binary Tree Level Order Traversal</t>
        </is>
      </c>
      <c r="K30" s="17" t="inlineStr">
        <is>
          <t>Medium</t>
        </is>
      </c>
      <c r="L30" s="15" t="inlineStr">
        <is>
          <t>Binary Tree Right Side View</t>
        </is>
      </c>
      <c r="M30" s="17" t="inlineStr">
        <is>
          <t>Medium</t>
        </is>
      </c>
      <c r="N30" s="15" t="inlineStr">
        <is>
          <t>Average of Levels in Binary Tree</t>
        </is>
      </c>
      <c r="O30" s="16" t="inlineStr">
        <is>
          <t>Easy</t>
        </is>
      </c>
      <c r="P30" s="13" t="inlineStr">
        <is>
          <t>API gateway, BFF, auth at the edge</t>
        </is>
      </c>
      <c r="Q30" s="13" t="inlineStr">
        <is>
          <t>• API gateway: routing, auth, rate limiting, TLS in one place
• BFF: one backend per client type (web, mobile)
• Auth at the edge vs in each service</t>
        </is>
      </c>
      <c r="R30" s="13" t="inlineStr">
        <is>
          <t>Facade pattern</t>
        </is>
      </c>
      <c r="S30" s="13" t="inlineStr">
        <is>
          <t>AWS: API Gateway + Lambda REST API</t>
        </is>
      </c>
      <c r="T30" s="13" t="inlineStr"/>
    </row>
    <row r="31" ht="48" customHeight="1">
      <c r="A31" s="13" t="n">
        <v>30</v>
      </c>
      <c r="B31" s="14" t="n">
        <v>46322</v>
      </c>
      <c r="C31" s="13" t="inlineStr">
        <is>
          <t>Tue</t>
        </is>
      </c>
      <c r="D31" s="13" t="inlineStr">
        <is>
          <t>Office day</t>
        </is>
      </c>
      <c r="E31" s="13" t="n">
        <v>2</v>
      </c>
      <c r="F31" s="13" t="n">
        <v>5</v>
      </c>
      <c r="G31" s="13" t="inlineStr">
        <is>
          <t>Microservices</t>
        </is>
      </c>
      <c r="H31" s="13" t="inlineStr">
        <is>
          <t>Trees</t>
        </is>
      </c>
      <c r="I31" s="13" t="inlineStr">
        <is>
          <t>Recursion returns what the parent needs; DFS for depth/paths, BFS (queue) for levels.</t>
        </is>
      </c>
      <c r="J31" s="15" t="inlineStr">
        <is>
          <t>Lowest Common Ancestor of a Binary Search Tree</t>
        </is>
      </c>
      <c r="K31" s="17" t="inlineStr">
        <is>
          <t>Medium</t>
        </is>
      </c>
      <c r="L31" s="15" t="inlineStr">
        <is>
          <t>Validate Binary Search Tree</t>
        </is>
      </c>
      <c r="M31" s="17" t="inlineStr">
        <is>
          <t>Medium</t>
        </is>
      </c>
      <c r="N31" s="15" t="inlineStr">
        <is>
          <t>Kth Smallest Element in a BST</t>
        </is>
      </c>
      <c r="O31" s="17" t="inlineStr">
        <is>
          <t>Medium</t>
        </is>
      </c>
      <c r="P31" s="13" t="inlineStr">
        <is>
          <t>Monolith vs microservices, sync vs async calls</t>
        </is>
      </c>
      <c r="Q31" s="13" t="inlineStr">
        <is>
          <t>• Monolith first; split by business capability
• Sync (REST/gRPC) couples availability; async decouples
• Data ownership: one DB per service</t>
        </is>
      </c>
      <c r="R31" s="13" t="inlineStr">
        <is>
          <t>Adapter pattern</t>
        </is>
      </c>
      <c r="S31" s="13" t="inlineStr">
        <is>
          <t>AWS: Docker image → ECR</t>
        </is>
      </c>
      <c r="T31" s="13" t="inlineStr"/>
    </row>
    <row r="32" ht="48" customHeight="1">
      <c r="A32" s="13" t="n">
        <v>31</v>
      </c>
      <c r="B32" s="14" t="n">
        <v>46323</v>
      </c>
      <c r="C32" s="13" t="inlineStr">
        <is>
          <t>Wed</t>
        </is>
      </c>
      <c r="D32" s="13" t="inlineStr">
        <is>
          <t>Office day</t>
        </is>
      </c>
      <c r="E32" s="13" t="n">
        <v>2</v>
      </c>
      <c r="F32" s="13" t="n">
        <v>5</v>
      </c>
      <c r="G32" s="13" t="inlineStr">
        <is>
          <t>Containers</t>
        </is>
      </c>
      <c r="H32" s="13" t="inlineStr">
        <is>
          <t>Trees</t>
        </is>
      </c>
      <c r="I32" s="13" t="inlineStr">
        <is>
          <t>Recursion returns what the parent needs; DFS for depth/paths, BFS (queue) for levels.</t>
        </is>
      </c>
      <c r="J32" s="15" t="inlineStr">
        <is>
          <t>Construct Binary Tree from Preorder and Inorder Traversal</t>
        </is>
      </c>
      <c r="K32" s="17" t="inlineStr">
        <is>
          <t>Medium</t>
        </is>
      </c>
      <c r="L32" s="15" t="inlineStr">
        <is>
          <t>Count Good Nodes in Binary Tree</t>
        </is>
      </c>
      <c r="M32" s="17" t="inlineStr">
        <is>
          <t>Medium</t>
        </is>
      </c>
      <c r="N32" s="15" t="inlineStr">
        <is>
          <t>Lowest Common Ancestor of a Binary Tree</t>
        </is>
      </c>
      <c r="O32" s="17" t="inlineStr">
        <is>
          <t>Medium</t>
        </is>
      </c>
      <c r="P32" s="13" t="inlineStr">
        <is>
          <t>Service discovery and health checks</t>
        </is>
      </c>
      <c r="Q32" s="13" t="inlineStr">
        <is>
          <t>• Service discovery: registry or DNS
• Liveness vs readiness health checks
• Containers vs VMs</t>
        </is>
      </c>
      <c r="R32" s="13" t="inlineStr">
        <is>
          <t>Dependency injection deep dive in .NET</t>
        </is>
      </c>
      <c r="S32" s="13" t="inlineStr">
        <is>
          <t>AWS: ECS Fargate: run your container</t>
        </is>
      </c>
      <c r="T32" s="13" t="inlineStr"/>
    </row>
    <row r="33" ht="48" customHeight="1">
      <c r="A33" s="13" t="n">
        <v>32</v>
      </c>
      <c r="B33" s="14" t="n">
        <v>46324</v>
      </c>
      <c r="C33" s="13" t="inlineStr">
        <is>
          <t>Thu</t>
        </is>
      </c>
      <c r="D33" s="13" t="inlineStr">
        <is>
          <t>Office day</t>
        </is>
      </c>
      <c r="E33" s="13" t="n">
        <v>2</v>
      </c>
      <c r="F33" s="13" t="n">
        <v>5</v>
      </c>
      <c r="G33" s="13" t="inlineStr">
        <is>
          <t>Auth</t>
        </is>
      </c>
      <c r="H33" s="13" t="inlineStr">
        <is>
          <t>Trees</t>
        </is>
      </c>
      <c r="I33" s="13" t="inlineStr">
        <is>
          <t>Recursion returns what the parent needs; DFS for depth/paths, BFS (queue) for levels.</t>
        </is>
      </c>
      <c r="J33" s="15" t="inlineStr">
        <is>
          <t>Serialize and Deserialize Binary Tree</t>
        </is>
      </c>
      <c r="K33" s="18" t="inlineStr">
        <is>
          <t>Hard</t>
        </is>
      </c>
      <c r="L33" s="15" t="inlineStr">
        <is>
          <t>Delete Node in a BST</t>
        </is>
      </c>
      <c r="M33" s="17" t="inlineStr">
        <is>
          <t>Medium</t>
        </is>
      </c>
      <c r="N33" s="15" t="inlineStr">
        <is>
          <t>Convert Sorted Array to Binary Search Tree</t>
        </is>
      </c>
      <c r="O33" s="16" t="inlineStr">
        <is>
          <t>Easy</t>
        </is>
      </c>
      <c r="P33" s="13" t="inlineStr">
        <is>
          <t>Authentication vs authorization, JWT, OAuth2</t>
        </is>
      </c>
      <c r="Q33" s="13" t="inlineStr">
        <is>
          <t>• Authentication = who you are; authorization = what you may do
• JWT structure and why short expiry + refresh tokens
• OAuth2 authorization code flow</t>
        </is>
      </c>
      <c r="R33" s="13" t="inlineStr">
        <is>
          <t>Design an auth module with interfaces</t>
        </is>
      </c>
      <c r="S33" s="13" t="inlineStr">
        <is>
          <t>AWS: Cognito basics</t>
        </is>
      </c>
      <c r="T33" s="13" t="inlineStr"/>
    </row>
    <row r="34" ht="48" customHeight="1">
      <c r="A34" s="13" t="n">
        <v>33</v>
      </c>
      <c r="B34" s="14" t="n">
        <v>46325</v>
      </c>
      <c r="C34" s="13" t="inlineStr">
        <is>
          <t>Fri</t>
        </is>
      </c>
      <c r="D34" s="13" t="inlineStr">
        <is>
          <t>Light Friday</t>
        </is>
      </c>
      <c r="E34" s="13" t="n">
        <v>2</v>
      </c>
      <c r="F34" s="13" t="n">
        <v>5</v>
      </c>
      <c r="G34" s="13" t="inlineStr">
        <is>
          <t>Observability</t>
        </is>
      </c>
      <c r="H34" s="13" t="inlineStr">
        <is>
          <t>Trees</t>
        </is>
      </c>
      <c r="I34" s="13" t="inlineStr">
        <is>
          <t>Recursion returns what the parent needs; DFS for depth/paths, BFS (queue) for levels.</t>
        </is>
      </c>
      <c r="J34" s="15" t="inlineStr">
        <is>
          <t>Search in a Binary Search Tree</t>
        </is>
      </c>
      <c r="K34" s="16" t="inlineStr">
        <is>
          <t>Easy</t>
        </is>
      </c>
      <c r="L34" s="15" t="inlineStr">
        <is>
          <t>Insert into a Binary Search Tree</t>
        </is>
      </c>
      <c r="M34" s="17" t="inlineStr">
        <is>
          <t>Medium</t>
        </is>
      </c>
      <c r="N34" s="15" t="inlineStr">
        <is>
          <t>Range Sum of BST</t>
        </is>
      </c>
      <c r="O34" s="16" t="inlineStr">
        <is>
          <t>Easy</t>
        </is>
      </c>
      <c r="P34" s="13" t="inlineStr">
        <is>
          <t>Logs, metrics, traces</t>
        </is>
      </c>
      <c r="Q34" s="13" t="inlineStr">
        <is>
          <t>• Logs = events, metrics = numbers over time, traces = one request across services
• Correlation IDs tie them together
• Alert on symptoms (latency, errors), not causes</t>
        </is>
      </c>
      <c r="R34" s="13" t="inlineStr">
        <is>
          <t>Structured logging design</t>
        </is>
      </c>
      <c r="S34" s="13" t="inlineStr">
        <is>
          <t>AWS: CloudWatch logs, metrics, alarms</t>
        </is>
      </c>
      <c r="T34" s="13" t="inlineStr"/>
    </row>
    <row r="35" ht="48" customHeight="1">
      <c r="A35" s="13" t="n">
        <v>34</v>
      </c>
      <c r="B35" s="14" t="n">
        <v>46326</v>
      </c>
      <c r="C35" s="13" t="inlineStr">
        <is>
          <t>Sat</t>
        </is>
      </c>
      <c r="D35" s="13" t="inlineStr">
        <is>
          <t>Build Saturday</t>
        </is>
      </c>
      <c r="E35" s="13" t="n">
        <v>2</v>
      </c>
      <c r="F35" s="13" t="n">
        <v>5</v>
      </c>
      <c r="G35" s="13" t="inlineStr">
        <is>
          <t>Build: URL shortener</t>
        </is>
      </c>
      <c r="H35" s="13" t="inlineStr">
        <is>
          <t>Trees</t>
        </is>
      </c>
      <c r="I35" s="13" t="inlineStr">
        <is>
          <t>Recursion returns what the parent needs; DFS for depth/paths, BFS (queue) for levels.</t>
        </is>
      </c>
      <c r="J35" s="15" t="inlineStr">
        <is>
          <t>Binary Tree Maximum Path Sum</t>
        </is>
      </c>
      <c r="K35" s="18" t="inlineStr">
        <is>
          <t>Hard</t>
        </is>
      </c>
      <c r="L35" s="15" t="inlineStr">
        <is>
          <t>Flatten Binary Tree to Linked List</t>
        </is>
      </c>
      <c r="M35" s="17" t="inlineStr">
        <is>
          <t>Medium</t>
        </is>
      </c>
      <c r="N35" s="15" t="inlineStr">
        <is>
          <t>Populating Next Right Pointers in Each Node</t>
        </is>
      </c>
      <c r="O35" s="17" t="inlineStr">
        <is>
          <t>Medium</t>
        </is>
      </c>
      <c r="P35" s="13" t="inlineStr">
        <is>
          <t>Design a URL shortener</t>
        </is>
      </c>
      <c r="Q35" s="13" t="inlineStr">
        <is>
          <t>• Requirements: shorten, redirect, custom alias, expiry
• Key generation: base62 counter vs hash; collisions
• Read-heavy: cache hot links, 301 vs 302</t>
        </is>
      </c>
      <c r="R35" s="13" t="inlineStr">
        <is>
          <t>URL shortener LLD: ID generator, base62</t>
        </is>
      </c>
      <c r="S35" s="13" t="inlineStr">
        <is>
          <t>AWS: Build it: API Gateway + Lambda + DynamoDB</t>
        </is>
      </c>
      <c r="T35" s="13" t="inlineStr"/>
    </row>
    <row r="36" ht="48" customHeight="1">
      <c r="A36" s="13" t="n">
        <v>35</v>
      </c>
      <c r="B36" s="14" t="n">
        <v>46327</v>
      </c>
      <c r="C36" s="13" t="inlineStr">
        <is>
          <t>Sun</t>
        </is>
      </c>
      <c r="D36" s="13" t="inlineStr">
        <is>
          <t>Review Sunday</t>
        </is>
      </c>
      <c r="E36" s="13" t="n">
        <v>2</v>
      </c>
      <c r="F36" s="13" t="n">
        <v>5</v>
      </c>
      <c r="G36" s="13" t="inlineStr">
        <is>
          <t>Review week 5</t>
        </is>
      </c>
      <c r="H36" s="13" t="inlineStr">
        <is>
          <t>Heap / priority queue</t>
        </is>
      </c>
      <c r="I36" s="13" t="inlineStr">
        <is>
          <t>Top-K or 'always the smallest next' = heap; keep it size K for O(n log K).</t>
        </is>
      </c>
      <c r="J36" s="15" t="inlineStr">
        <is>
          <t>Kth Largest Element in a Stream</t>
        </is>
      </c>
      <c r="K36" s="16" t="inlineStr">
        <is>
          <t>Easy</t>
        </is>
      </c>
      <c r="L36" s="15" t="inlineStr">
        <is>
          <t>Last Stone Weight</t>
        </is>
      </c>
      <c r="M36" s="16" t="inlineStr">
        <is>
          <t>Easy</t>
        </is>
      </c>
      <c r="N36" s="15" t="inlineStr">
        <is>
          <t>Kth Largest Element in an Array</t>
        </is>
      </c>
      <c r="O36" s="17" t="inlineStr">
        <is>
          <t>Medium</t>
        </is>
      </c>
      <c r="P36" s="13" t="inlineStr">
        <is>
          <t>Revise APIs, microservices, auth</t>
        </is>
      </c>
      <c r="Q36" s="13" t="inlineStr">
        <is>
          <t>• Revise APIs, microservices and auth
• Explain JWT and OAuth2 out loud
• List weak spots</t>
        </is>
      </c>
      <c r="R36" s="13" t="inlineStr">
        <is>
          <t>Recap: Facade, Adapter, DI</t>
        </is>
      </c>
      <c r="S36" s="13" t="inlineStr">
        <is>
          <t>AWS: Clean up, check billing</t>
        </is>
      </c>
      <c r="T36" s="13" t="inlineStr"/>
    </row>
    <row r="37" ht="48" customHeight="1">
      <c r="A37" s="13" t="n">
        <v>36</v>
      </c>
      <c r="B37" s="14" t="n">
        <v>46328</v>
      </c>
      <c r="C37" s="13" t="inlineStr">
        <is>
          <t>Mon</t>
        </is>
      </c>
      <c r="D37" s="13" t="inlineStr">
        <is>
          <t>Office day</t>
        </is>
      </c>
      <c r="E37" s="13" t="n">
        <v>2</v>
      </c>
      <c r="F37" s="13" t="n">
        <v>6</v>
      </c>
      <c r="G37" s="13" t="inlineStr">
        <is>
          <t>Scheduling</t>
        </is>
      </c>
      <c r="H37" s="13" t="inlineStr">
        <is>
          <t>Heap / priority queue</t>
        </is>
      </c>
      <c r="I37" s="13" t="inlineStr">
        <is>
          <t>Top-K or 'always the smallest next' = heap; keep it size K for O(n log K).</t>
        </is>
      </c>
      <c r="J37" s="15" t="inlineStr">
        <is>
          <t>K Closest Points to Origin</t>
        </is>
      </c>
      <c r="K37" s="17" t="inlineStr">
        <is>
          <t>Medium</t>
        </is>
      </c>
      <c r="L37" s="15" t="inlineStr">
        <is>
          <t>Task Scheduler</t>
        </is>
      </c>
      <c r="M37" s="17" t="inlineStr">
        <is>
          <t>Medium</t>
        </is>
      </c>
      <c r="N37" s="15" t="inlineStr">
        <is>
          <t>Design Twitter</t>
        </is>
      </c>
      <c r="O37" s="17" t="inlineStr">
        <is>
          <t>Medium</t>
        </is>
      </c>
      <c r="P37" s="13" t="inlineStr">
        <is>
          <t>Job schedulers and priority queues</t>
        </is>
      </c>
      <c r="Q37" s="13" t="inlineStr">
        <is>
          <t>• Scheduler: store jobs, pick due ones, run with retries
• Priority queues order work
• Distributed schedulers need locking so a job runs once</t>
        </is>
      </c>
      <c r="R37" s="13" t="inlineStr">
        <is>
          <t>Parking Lot part 1: requirements + entities</t>
        </is>
      </c>
      <c r="S37" s="13" t="inlineStr">
        <is>
          <t>AWS: EventBridge scheduled rules</t>
        </is>
      </c>
      <c r="T37" s="13" t="inlineStr"/>
    </row>
    <row r="38" ht="48" customHeight="1">
      <c r="A38" s="13" t="n">
        <v>37</v>
      </c>
      <c r="B38" s="14" t="n">
        <v>46329</v>
      </c>
      <c r="C38" s="13" t="inlineStr">
        <is>
          <t>Tue</t>
        </is>
      </c>
      <c r="D38" s="13" t="inlineStr">
        <is>
          <t>Office day</t>
        </is>
      </c>
      <c r="E38" s="13" t="n">
        <v>2</v>
      </c>
      <c r="F38" s="13" t="n">
        <v>6</v>
      </c>
      <c r="G38" s="13" t="inlineStr">
        <is>
          <t>Consistent hashing</t>
        </is>
      </c>
      <c r="H38" s="13" t="inlineStr">
        <is>
          <t>Heap / priority queue</t>
        </is>
      </c>
      <c r="I38" s="13" t="inlineStr">
        <is>
          <t>Top-K or 'always the smallest next' = heap; keep it size K for O(n log K).</t>
        </is>
      </c>
      <c r="J38" s="15" t="inlineStr">
        <is>
          <t>Find Median from Data Stream</t>
        </is>
      </c>
      <c r="K38" s="18" t="inlineStr">
        <is>
          <t>Hard</t>
        </is>
      </c>
      <c r="L38" s="15" t="inlineStr">
        <is>
          <t>Reorganize String</t>
        </is>
      </c>
      <c r="M38" s="17" t="inlineStr">
        <is>
          <t>Medium</t>
        </is>
      </c>
      <c r="N38" s="15" t="inlineStr">
        <is>
          <t>Sort Characters By Frequency</t>
        </is>
      </c>
      <c r="O38" s="17" t="inlineStr">
        <is>
          <t>Medium</t>
        </is>
      </c>
      <c r="P38" s="13" t="inlineStr">
        <is>
          <t>Consistent hashing</t>
        </is>
      </c>
      <c r="Q38" s="13" t="inlineStr">
        <is>
          <t>• Hash ring: adding a node moves only nearby keys
• Virtual nodes smooth out load
• Used in caches, DynamoDB, Cassandra</t>
        </is>
      </c>
      <c r="R38" s="13" t="inlineStr">
        <is>
          <t>Parking Lot part 2: pricing strategy, spot allocation</t>
        </is>
      </c>
      <c r="S38" s="13" t="inlineStr">
        <is>
          <t>AWS: VPC: public/private subnets, NAT</t>
        </is>
      </c>
      <c r="T38" s="13" t="inlineStr"/>
    </row>
    <row r="39" ht="48" customHeight="1">
      <c r="A39" s="13" t="n">
        <v>38</v>
      </c>
      <c r="B39" s="14" t="n">
        <v>46330</v>
      </c>
      <c r="C39" s="13" t="inlineStr">
        <is>
          <t>Wed</t>
        </is>
      </c>
      <c r="D39" s="13" t="inlineStr">
        <is>
          <t>Office day</t>
        </is>
      </c>
      <c r="E39" s="13" t="n">
        <v>2</v>
      </c>
      <c r="F39" s="13" t="n">
        <v>6</v>
      </c>
      <c r="G39" s="13" t="inlineStr">
        <is>
          <t>Graphs</t>
        </is>
      </c>
      <c r="H39" s="13" t="inlineStr">
        <is>
          <t>Graphs (BFS / DFS / union-find)</t>
        </is>
      </c>
      <c r="I39" s="13" t="inlineStr">
        <is>
          <t>Grid or adjacency list; BFS for shortest steps, DFS for components, topo sort for dependencies.</t>
        </is>
      </c>
      <c r="J39" s="15" t="inlineStr">
        <is>
          <t>Number of Islands</t>
        </is>
      </c>
      <c r="K39" s="17" t="inlineStr">
        <is>
          <t>Medium</t>
        </is>
      </c>
      <c r="L39" s="15" t="inlineStr">
        <is>
          <t>Clone Graph</t>
        </is>
      </c>
      <c r="M39" s="17" t="inlineStr">
        <is>
          <t>Medium</t>
        </is>
      </c>
      <c r="N39" s="15" t="inlineStr">
        <is>
          <t>Max Area of Island</t>
        </is>
      </c>
      <c r="O39" s="17" t="inlineStr">
        <is>
          <t>Medium</t>
        </is>
      </c>
      <c r="P39" s="13" t="inlineStr">
        <is>
          <t>Modelling relationships, graph DB intro</t>
        </is>
      </c>
      <c r="Q39" s="13" t="inlineStr">
        <is>
          <t>• Model relationships as nodes and edges
• Graph DBs for multi-hop queries (friends of friends)
• When a relational DB is still fine</t>
        </is>
      </c>
      <c r="R39" s="13" t="inlineStr">
        <is>
          <t>Elevator system part 1: entities</t>
        </is>
      </c>
      <c r="S39" s="13" t="inlineStr">
        <is>
          <t>AWS: Security groups vs NACLs</t>
        </is>
      </c>
      <c r="T39" s="13" t="inlineStr"/>
    </row>
    <row r="40" ht="48" customHeight="1">
      <c r="A40" s="13" t="n">
        <v>39</v>
      </c>
      <c r="B40" s="14" t="n">
        <v>46331</v>
      </c>
      <c r="C40" s="13" t="inlineStr">
        <is>
          <t>Thu</t>
        </is>
      </c>
      <c r="D40" s="13" t="inlineStr">
        <is>
          <t>Office day</t>
        </is>
      </c>
      <c r="E40" s="13" t="n">
        <v>2</v>
      </c>
      <c r="F40" s="13" t="n">
        <v>6</v>
      </c>
      <c r="G40" s="13" t="inlineStr">
        <is>
          <t>Coordination</t>
        </is>
      </c>
      <c r="H40" s="13" t="inlineStr">
        <is>
          <t>Graphs (BFS / DFS / union-find)</t>
        </is>
      </c>
      <c r="I40" s="13" t="inlineStr">
        <is>
          <t>Grid or adjacency list; BFS for shortest steps, DFS for components, topo sort for dependencies.</t>
        </is>
      </c>
      <c r="J40" s="15" t="inlineStr">
        <is>
          <t>Rotting Oranges</t>
        </is>
      </c>
      <c r="K40" s="17" t="inlineStr">
        <is>
          <t>Medium</t>
        </is>
      </c>
      <c r="L40" s="15" t="inlineStr">
        <is>
          <t>Pacific Atlantic Water Flow</t>
        </is>
      </c>
      <c r="M40" s="17" t="inlineStr">
        <is>
          <t>Medium</t>
        </is>
      </c>
      <c r="N40" s="15" t="inlineStr">
        <is>
          <t>Surrounded Regions</t>
        </is>
      </c>
      <c r="O40" s="17" t="inlineStr">
        <is>
          <t>Medium</t>
        </is>
      </c>
      <c r="P40" s="13" t="inlineStr">
        <is>
          <t>Heartbeats and leader election (basic)</t>
        </is>
      </c>
      <c r="Q40" s="13" t="inlineStr">
        <is>
          <t>• Heartbeats detect dead nodes
• Leader election: one node coordinates (Raft idea at a high level)
• Avoid split brain with quorums</t>
        </is>
      </c>
      <c r="R40" s="13" t="inlineStr">
        <is>
          <t>Elevator part 2: State pattern</t>
        </is>
      </c>
      <c r="S40" s="13" t="inlineStr">
        <is>
          <t>AWS: Secrets Manager and Parameter Store</t>
        </is>
      </c>
      <c r="T40" s="13" t="inlineStr"/>
    </row>
    <row r="41" ht="48" customHeight="1">
      <c r="A41" s="13" t="n">
        <v>40</v>
      </c>
      <c r="B41" s="14" t="n">
        <v>46332</v>
      </c>
      <c r="C41" s="13" t="inlineStr">
        <is>
          <t>Fri</t>
        </is>
      </c>
      <c r="D41" s="13" t="inlineStr">
        <is>
          <t>Light Friday</t>
        </is>
      </c>
      <c r="E41" s="13" t="n">
        <v>2</v>
      </c>
      <c r="F41" s="13" t="n">
        <v>6</v>
      </c>
      <c r="G41" s="13" t="inlineStr">
        <is>
          <t>Probabilistic tricks</t>
        </is>
      </c>
      <c r="H41" s="13" t="inlineStr">
        <is>
          <t>Graphs (BFS / DFS / union-find)</t>
        </is>
      </c>
      <c r="I41" s="13" t="inlineStr">
        <is>
          <t>Grid or adjacency list; BFS for shortest steps, DFS for components, topo sort for dependencies.</t>
        </is>
      </c>
      <c r="J41" s="15" t="inlineStr">
        <is>
          <t>Course Schedule</t>
        </is>
      </c>
      <c r="K41" s="17" t="inlineStr">
        <is>
          <t>Medium</t>
        </is>
      </c>
      <c r="L41" s="15" t="inlineStr">
        <is>
          <t>Course Schedule II</t>
        </is>
      </c>
      <c r="M41" s="17" t="inlineStr">
        <is>
          <t>Medium</t>
        </is>
      </c>
      <c r="N41" s="15" t="inlineStr">
        <is>
          <t>Find the Town Judge</t>
        </is>
      </c>
      <c r="O41" s="16" t="inlineStr">
        <is>
          <t>Easy</t>
        </is>
      </c>
      <c r="P41" s="13" t="inlineStr">
        <is>
          <t>Bloom filters</t>
        </is>
      </c>
      <c r="Q41" s="13" t="inlineStr">
        <is>
          <t>• Bloom filter: 'definitely not' or 'maybe yes' with tiny memory
• False-positive rate vs bits and hash functions
• Uses: cache filters, username checks</t>
        </is>
      </c>
      <c r="R41" s="13" t="inlineStr">
        <is>
          <t>Vending machine with State pattern</t>
        </is>
      </c>
      <c r="S41" s="13" t="inlineStr">
        <is>
          <t>AWS: CloudFormation / infrastructure as code intro</t>
        </is>
      </c>
      <c r="T41" s="13" t="inlineStr"/>
    </row>
    <row r="42" ht="48" customHeight="1">
      <c r="A42" s="13" t="n">
        <v>41</v>
      </c>
      <c r="B42" s="14" t="n">
        <v>46333</v>
      </c>
      <c r="C42" s="13" t="inlineStr">
        <is>
          <t>Sat</t>
        </is>
      </c>
      <c r="D42" s="13" t="inlineStr">
        <is>
          <t>Build Saturday</t>
        </is>
      </c>
      <c r="E42" s="13" t="n">
        <v>2</v>
      </c>
      <c r="F42" s="13" t="n">
        <v>6</v>
      </c>
      <c r="G42" s="13" t="inlineStr">
        <is>
          <t>Build: parking system</t>
        </is>
      </c>
      <c r="H42" s="13" t="inlineStr">
        <is>
          <t>Graphs (BFS / DFS / union-find)</t>
        </is>
      </c>
      <c r="I42" s="13" t="inlineStr">
        <is>
          <t>Grid or adjacency list; BFS for shortest steps, DFS for components, topo sort for dependencies.</t>
        </is>
      </c>
      <c r="J42" s="15" t="inlineStr">
        <is>
          <t>Redundant Connection</t>
        </is>
      </c>
      <c r="K42" s="17" t="inlineStr">
        <is>
          <t>Medium</t>
        </is>
      </c>
      <c r="L42" s="15" t="inlineStr">
        <is>
          <t>Number of Provinces</t>
        </is>
      </c>
      <c r="M42" s="17" t="inlineStr">
        <is>
          <t>Medium</t>
        </is>
      </c>
      <c r="N42" s="15" t="inlineStr">
        <is>
          <t>Find if Path Exists in Graph</t>
        </is>
      </c>
      <c r="O42" s="16" t="inlineStr">
        <is>
          <t>Easy</t>
        </is>
      </c>
      <c r="P42" s="13" t="inlineStr">
        <is>
          <t>HLD of a parking system (pairs with your LLD)</t>
        </is>
      </c>
      <c r="Q42" s="13" t="inlineStr">
        <is>
          <t>• Entry/exit gates, spot allocation, payment
• Real-time availability per floor
• Pairs with your Parking Lot LLD</t>
        </is>
      </c>
      <c r="R42" s="13" t="inlineStr">
        <is>
          <t>Vending machine: full implementation</t>
        </is>
      </c>
      <c r="S42" s="13" t="inlineStr">
        <is>
          <t>AWS: GitHub Actions → deploy to ECS</t>
        </is>
      </c>
      <c r="T42" s="13" t="inlineStr"/>
    </row>
    <row r="43" ht="48" customHeight="1">
      <c r="A43" s="13" t="n">
        <v>42</v>
      </c>
      <c r="B43" s="14" t="n">
        <v>46334</v>
      </c>
      <c r="C43" s="13" t="inlineStr">
        <is>
          <t>Sun</t>
        </is>
      </c>
      <c r="D43" s="13" t="inlineStr">
        <is>
          <t>Review Sunday</t>
        </is>
      </c>
      <c r="E43" s="13" t="n">
        <v>2</v>
      </c>
      <c r="F43" s="13" t="n">
        <v>6</v>
      </c>
      <c r="G43" s="13" t="inlineStr">
        <is>
          <t>Review week 6</t>
        </is>
      </c>
      <c r="H43" s="13" t="inlineStr">
        <is>
          <t>Graphs (BFS / DFS / union-find)</t>
        </is>
      </c>
      <c r="I43" s="13" t="inlineStr">
        <is>
          <t>Grid or adjacency list; BFS for shortest steps, DFS for components, topo sort for dependencies.</t>
        </is>
      </c>
      <c r="J43" s="15" t="inlineStr">
        <is>
          <t>Word Ladder</t>
        </is>
      </c>
      <c r="K43" s="18" t="inlineStr">
        <is>
          <t>Hard</t>
        </is>
      </c>
      <c r="L43" s="15" t="inlineStr">
        <is>
          <t>Shortest Path in Binary Matrix</t>
        </is>
      </c>
      <c r="M43" s="17" t="inlineStr">
        <is>
          <t>Medium</t>
        </is>
      </c>
      <c r="N43" s="15" t="inlineStr">
        <is>
          <t>Open the Lock</t>
        </is>
      </c>
      <c r="O43" s="17" t="inlineStr">
        <is>
          <t>Medium</t>
        </is>
      </c>
      <c r="P43" s="13" t="inlineStr">
        <is>
          <t>Revise scheduling, hashing, coordination</t>
        </is>
      </c>
      <c r="Q43" s="13" t="inlineStr">
        <is>
          <t>• Revise scheduling, hashing and coordination
• Explain consistent hashing out loud
• List weak spots</t>
        </is>
      </c>
      <c r="R43" s="13" t="inlineStr">
        <is>
          <t>Recap: Parking Lot, Elevator, State</t>
        </is>
      </c>
      <c r="S43" s="13" t="inlineStr">
        <is>
          <t>AWS: Clean up, check billing</t>
        </is>
      </c>
      <c r="T43" s="13" t="inlineStr"/>
    </row>
    <row r="44" ht="48" customHeight="1">
      <c r="A44" s="13" t="n">
        <v>43</v>
      </c>
      <c r="B44" s="14" t="n">
        <v>46335</v>
      </c>
      <c r="C44" s="13" t="inlineStr">
        <is>
          <t>Mon</t>
        </is>
      </c>
      <c r="D44" s="13" t="inlineStr">
        <is>
          <t>Office day</t>
        </is>
      </c>
      <c r="E44" s="13" t="n">
        <v>2</v>
      </c>
      <c r="F44" s="13" t="n">
        <v>7</v>
      </c>
      <c r="G44" s="13" t="inlineStr">
        <is>
          <t>Search</t>
        </is>
      </c>
      <c r="H44" s="13" t="inlineStr">
        <is>
          <t>Trie</t>
        </is>
      </c>
      <c r="I44" s="13" t="inlineStr">
        <is>
          <t>Each node = one character with children map + end flag; prefix queries become O(length).</t>
        </is>
      </c>
      <c r="J44" s="15" t="inlineStr">
        <is>
          <t>Implement Trie (Prefix Tree)</t>
        </is>
      </c>
      <c r="K44" s="17" t="inlineStr">
        <is>
          <t>Medium</t>
        </is>
      </c>
      <c r="L44" s="15" t="inlineStr">
        <is>
          <t>Design Add and Search Words Data Structure</t>
        </is>
      </c>
      <c r="M44" s="17" t="inlineStr">
        <is>
          <t>Medium</t>
        </is>
      </c>
      <c r="N44" s="15" t="inlineStr">
        <is>
          <t>Longest Common Prefix</t>
        </is>
      </c>
      <c r="O44" s="16" t="inlineStr">
        <is>
          <t>Easy</t>
        </is>
      </c>
      <c r="P44" s="13" t="inlineStr">
        <is>
          <t>Typeahead / autocomplete</t>
        </is>
      </c>
      <c r="Q44" s="13" t="inlineStr">
        <is>
          <t>• Typeahead: prefix → top suggestions
• Trie with top-K cached per node, or search index
• Update ranking offline, serve from memory</t>
        </is>
      </c>
      <c r="R44" s="13" t="inlineStr">
        <is>
          <t>Trie design</t>
        </is>
      </c>
      <c r="S44" s="13" t="inlineStr">
        <is>
          <t>AWS: OpenSearch overview</t>
        </is>
      </c>
      <c r="T44" s="13" t="inlineStr"/>
    </row>
    <row r="45" ht="48" customHeight="1">
      <c r="A45" s="13" t="n">
        <v>44</v>
      </c>
      <c r="B45" s="14" t="n">
        <v>46336</v>
      </c>
      <c r="C45" s="13" t="inlineStr">
        <is>
          <t>Tue</t>
        </is>
      </c>
      <c r="D45" s="13" t="inlineStr">
        <is>
          <t>Office day</t>
        </is>
      </c>
      <c r="E45" s="13" t="n">
        <v>2</v>
      </c>
      <c r="F45" s="13" t="n">
        <v>7</v>
      </c>
      <c r="G45" s="13" t="inlineStr">
        <is>
          <t>Pagination</t>
        </is>
      </c>
      <c r="H45" s="13" t="inlineStr">
        <is>
          <t>Trie</t>
        </is>
      </c>
      <c r="I45" s="13" t="inlineStr">
        <is>
          <t>Each node = one character with children map + end flag; prefix queries become O(length).</t>
        </is>
      </c>
      <c r="J45" s="15" t="inlineStr">
        <is>
          <t>Word Search II</t>
        </is>
      </c>
      <c r="K45" s="18" t="inlineStr">
        <is>
          <t>Hard</t>
        </is>
      </c>
      <c r="L45" s="15" t="inlineStr">
        <is>
          <t>Word Search</t>
        </is>
      </c>
      <c r="M45" s="17" t="inlineStr">
        <is>
          <t>Medium</t>
        </is>
      </c>
      <c r="N45" s="15" t="inlineStr">
        <is>
          <t>Search Suggestions System</t>
        </is>
      </c>
      <c r="O45" s="17" t="inlineStr">
        <is>
          <t>Medium</t>
        </is>
      </c>
      <c r="P45" s="13" t="inlineStr">
        <is>
          <t>Offset vs cursor pagination</t>
        </is>
      </c>
      <c r="Q45" s="13" t="inlineStr">
        <is>
          <t>• Offset pagination is simple but slow and unstable on big tables
• Cursor pagination uses the last seen key
• Return next-cursor tokens</t>
        </is>
      </c>
      <c r="R45" s="13" t="inlineStr">
        <is>
          <t>BookMyShow part 1: entities</t>
        </is>
      </c>
      <c r="S45" s="13" t="inlineStr">
        <is>
          <t>AWS: DynamoDB queries and pagination</t>
        </is>
      </c>
      <c r="T45" s="13" t="inlineStr"/>
    </row>
    <row r="46" ht="48" customHeight="1">
      <c r="A46" s="13" t="n">
        <v>45</v>
      </c>
      <c r="B46" s="14" t="n">
        <v>46337</v>
      </c>
      <c r="C46" s="13" t="inlineStr">
        <is>
          <t>Wed</t>
        </is>
      </c>
      <c r="D46" s="13" t="inlineStr">
        <is>
          <t>Office day</t>
        </is>
      </c>
      <c r="E46" s="13" t="n">
        <v>2</v>
      </c>
      <c r="F46" s="13" t="n">
        <v>7</v>
      </c>
      <c r="G46" s="13" t="inlineStr">
        <is>
          <t>Concurrency</t>
        </is>
      </c>
      <c r="H46" s="13" t="inlineStr">
        <is>
          <t>Intervals</t>
        </is>
      </c>
      <c r="I46" s="13" t="inlineStr">
        <is>
          <t>Sort by start (or end for greedy removal), then merge or compare neighbours.</t>
        </is>
      </c>
      <c r="J46" s="15" t="inlineStr">
        <is>
          <t>Merge Intervals</t>
        </is>
      </c>
      <c r="K46" s="17" t="inlineStr">
        <is>
          <t>Medium</t>
        </is>
      </c>
      <c r="L46" s="15" t="inlineStr">
        <is>
          <t>Insert Interval</t>
        </is>
      </c>
      <c r="M46" s="17" t="inlineStr">
        <is>
          <t>Medium</t>
        </is>
      </c>
      <c r="N46" s="15" t="inlineStr">
        <is>
          <t>Non-overlapping Intervals</t>
        </is>
      </c>
      <c r="O46" s="17" t="inlineStr">
        <is>
          <t>Medium</t>
        </is>
      </c>
      <c r="P46" s="13" t="inlineStr">
        <is>
          <t>Optimistic vs pessimistic locking, distributed locks</t>
        </is>
      </c>
      <c r="Q46" s="13" t="inlineStr">
        <is>
          <t>• Optimistic locking: version check on write
• Pessimistic locking: lock first, then write
• Distributed locks with Redis and expiry</t>
        </is>
      </c>
      <c r="R46" s="13" t="inlineStr">
        <is>
          <t>BookMyShow part 2: seat locking</t>
        </is>
      </c>
      <c r="S46" s="13" t="inlineStr">
        <is>
          <t>AWS: DynamoDB conditional writes</t>
        </is>
      </c>
      <c r="T46" s="13" t="inlineStr"/>
    </row>
    <row r="47" ht="48" customHeight="1">
      <c r="A47" s="13" t="n">
        <v>46</v>
      </c>
      <c r="B47" s="14" t="n">
        <v>46338</v>
      </c>
      <c r="C47" s="13" t="inlineStr">
        <is>
          <t>Thu</t>
        </is>
      </c>
      <c r="D47" s="13" t="inlineStr">
        <is>
          <t>Office day</t>
        </is>
      </c>
      <c r="E47" s="13" t="n">
        <v>2</v>
      </c>
      <c r="F47" s="13" t="n">
        <v>7</v>
      </c>
      <c r="G47" s="13" t="inlineStr">
        <is>
          <t>Real-time</t>
        </is>
      </c>
      <c r="H47" s="13" t="inlineStr">
        <is>
          <t>Intervals</t>
        </is>
      </c>
      <c r="I47" s="13" t="inlineStr">
        <is>
          <t>Sort by start (or end for greedy removal), then merge or compare neighbours.</t>
        </is>
      </c>
      <c r="J47" s="15" t="inlineStr">
        <is>
          <t>Minimum Number of Arrows to Burst Balloons</t>
        </is>
      </c>
      <c r="K47" s="17" t="inlineStr">
        <is>
          <t>Medium</t>
        </is>
      </c>
      <c r="L47" s="15" t="inlineStr">
        <is>
          <t>Interval List Intersections</t>
        </is>
      </c>
      <c r="M47" s="17" t="inlineStr">
        <is>
          <t>Medium</t>
        </is>
      </c>
      <c r="N47" s="15" t="inlineStr">
        <is>
          <t>My Calendar I</t>
        </is>
      </c>
      <c r="O47" s="17" t="inlineStr">
        <is>
          <t>Medium</t>
        </is>
      </c>
      <c r="P47" s="13" t="inlineStr">
        <is>
          <t>Polling, long polling, WebSockets</t>
        </is>
      </c>
      <c r="Q47" s="13" t="inlineStr">
        <is>
          <t>• Polling vs long polling vs WebSockets vs SSE
• Connection servers + a pub/sub backbone
• Presence and reconnect handling</t>
        </is>
      </c>
      <c r="R47" s="13" t="inlineStr">
        <is>
          <t>Chat LLD: user, room, message</t>
        </is>
      </c>
      <c r="S47" s="13" t="inlineStr">
        <is>
          <t>AWS: API Gateway WebSockets</t>
        </is>
      </c>
      <c r="T47" s="13" t="inlineStr"/>
    </row>
    <row r="48" ht="48" customHeight="1">
      <c r="A48" s="13" t="n">
        <v>47</v>
      </c>
      <c r="B48" s="14" t="n">
        <v>46339</v>
      </c>
      <c r="C48" s="13" t="inlineStr">
        <is>
          <t>Fri</t>
        </is>
      </c>
      <c r="D48" s="13" t="inlineStr">
        <is>
          <t>Light Friday</t>
        </is>
      </c>
      <c r="E48" s="13" t="n">
        <v>2</v>
      </c>
      <c r="F48" s="13" t="n">
        <v>7</v>
      </c>
      <c r="G48" s="13" t="inlineStr">
        <is>
          <t>Estimation</t>
        </is>
      </c>
      <c r="H48" s="13" t="inlineStr">
        <is>
          <t>Bit manipulation</t>
        </is>
      </c>
      <c r="I48" s="13" t="inlineStr">
        <is>
          <t>x &amp; (x-1) drops the lowest set bit; XOR cancels pairs; shifts read bits one by one.</t>
        </is>
      </c>
      <c r="J48" s="15" t="inlineStr">
        <is>
          <t>Single Number</t>
        </is>
      </c>
      <c r="K48" s="16" t="inlineStr">
        <is>
          <t>Easy</t>
        </is>
      </c>
      <c r="L48" s="15" t="inlineStr">
        <is>
          <t>Number of 1 Bits</t>
        </is>
      </c>
      <c r="M48" s="16" t="inlineStr">
        <is>
          <t>Easy</t>
        </is>
      </c>
      <c r="N48" s="15" t="inlineStr">
        <is>
          <t>Counting Bits</t>
        </is>
      </c>
      <c r="O48" s="16" t="inlineStr">
        <is>
          <t>Easy</t>
        </is>
      </c>
      <c r="P48" s="13" t="inlineStr">
        <is>
          <t>Back-of-envelope estimation</t>
        </is>
      </c>
      <c r="Q48" s="13" t="inlineStr">
        <is>
          <t>• Users → requests/sec → storage/day → bandwidth
• Round numbers: 1 day ≈ 100k seconds
• Estimate peak = 2-3x average</t>
        </is>
      </c>
      <c r="R48" s="13" t="inlineStr">
        <is>
          <t>Splitwise part 1: entities</t>
        </is>
      </c>
      <c r="S48" s="13" t="inlineStr">
        <is>
          <t>AWS: AWS pricing and cost optimization</t>
        </is>
      </c>
      <c r="T48" s="13" t="inlineStr"/>
    </row>
    <row r="49" ht="48" customHeight="1">
      <c r="A49" s="13" t="n">
        <v>48</v>
      </c>
      <c r="B49" s="14" t="n">
        <v>46340</v>
      </c>
      <c r="C49" s="13" t="inlineStr">
        <is>
          <t>Sat</t>
        </is>
      </c>
      <c r="D49" s="13" t="inlineStr">
        <is>
          <t>Build Saturday</t>
        </is>
      </c>
      <c r="E49" s="13" t="n">
        <v>2</v>
      </c>
      <c r="F49" s="13" t="n">
        <v>7</v>
      </c>
      <c r="G49" s="13" t="inlineStr">
        <is>
          <t>Build: chat app</t>
        </is>
      </c>
      <c r="H49" s="13" t="inlineStr">
        <is>
          <t>Advanced graphs (Dijkstra / MST)</t>
        </is>
      </c>
      <c r="I49" s="13" t="inlineStr">
        <is>
          <t>Weighted shortest path = Dijkstra with a min-heap; connect-all-cheaply = Prim/Kruskal.</t>
        </is>
      </c>
      <c r="J49" s="15" t="inlineStr">
        <is>
          <t>Network Delay Time</t>
        </is>
      </c>
      <c r="K49" s="17" t="inlineStr">
        <is>
          <t>Medium</t>
        </is>
      </c>
      <c r="L49" s="15" t="inlineStr">
        <is>
          <t>Min Cost to Connect All Points</t>
        </is>
      </c>
      <c r="M49" s="17" t="inlineStr">
        <is>
          <t>Medium</t>
        </is>
      </c>
      <c r="N49" s="15" t="inlineStr">
        <is>
          <t>Cheapest Flights Within K Stops</t>
        </is>
      </c>
      <c r="O49" s="17" t="inlineStr">
        <is>
          <t>Medium</t>
        </is>
      </c>
      <c r="P49" s="13" t="inlineStr">
        <is>
          <t>Design a basic chat app</t>
        </is>
      </c>
      <c r="Q49" s="13" t="inlineStr">
        <is>
          <t>• 1:1 and group chat over WebSockets
• Message store, delivery and read receipts
• Fan-out on write for groups</t>
        </is>
      </c>
      <c r="R49" s="13" t="inlineStr">
        <is>
          <t>Splitwise: full implementation</t>
        </is>
      </c>
      <c r="S49" s="13" t="inlineStr">
        <is>
          <t>AWS: Deploy a WebSocket/SignalR demo</t>
        </is>
      </c>
      <c r="T49" s="13" t="inlineStr"/>
    </row>
    <row r="50" ht="48" customHeight="1">
      <c r="A50" s="13" t="n">
        <v>49</v>
      </c>
      <c r="B50" s="14" t="n">
        <v>46341</v>
      </c>
      <c r="C50" s="13" t="inlineStr">
        <is>
          <t>Sun</t>
        </is>
      </c>
      <c r="D50" s="13" t="inlineStr">
        <is>
          <t>Review Sunday</t>
        </is>
      </c>
      <c r="E50" s="13" t="n">
        <v>2</v>
      </c>
      <c r="F50" s="13" t="n">
        <v>7</v>
      </c>
      <c r="G50" s="13" t="inlineStr">
        <is>
          <t>Review week 7</t>
        </is>
      </c>
      <c r="H50" s="13" t="inlineStr">
        <is>
          <t>Bit manipulation</t>
        </is>
      </c>
      <c r="I50" s="13" t="inlineStr">
        <is>
          <t>x &amp; (x-1) drops the lowest set bit; XOR cancels pairs; shifts read bits one by one.</t>
        </is>
      </c>
      <c r="J50" s="15" t="inlineStr">
        <is>
          <t>Reverse Bits</t>
        </is>
      </c>
      <c r="K50" s="16" t="inlineStr">
        <is>
          <t>Easy</t>
        </is>
      </c>
      <c r="L50" s="15" t="inlineStr">
        <is>
          <t>Missing Number</t>
        </is>
      </c>
      <c r="M50" s="16" t="inlineStr">
        <is>
          <t>Easy</t>
        </is>
      </c>
      <c r="N50" s="15" t="inlineStr">
        <is>
          <t>Sum of Two Integers</t>
        </is>
      </c>
      <c r="O50" s="17" t="inlineStr">
        <is>
          <t>Medium</t>
        </is>
      </c>
      <c r="P50" s="13" t="inlineStr">
        <is>
          <t>Revise search, concurrency, real-time</t>
        </is>
      </c>
      <c r="Q50" s="13" t="inlineStr">
        <is>
          <t>• Revise search, concurrency and real-time
• Explain locking choices out loud
• List weak spots</t>
        </is>
      </c>
      <c r="R50" s="13" t="inlineStr">
        <is>
          <t>Recap: Trie, BookMyShow, Chat, Splitwise</t>
        </is>
      </c>
      <c r="S50" s="13" t="inlineStr">
        <is>
          <t>AWS: Clean up, check billing</t>
        </is>
      </c>
      <c r="T50" s="13" t="inlineStr"/>
    </row>
    <row r="51" ht="62" customHeight="1">
      <c r="A51" s="13" t="n">
        <v>50</v>
      </c>
      <c r="B51" s="14" t="n">
        <v>46342</v>
      </c>
      <c r="C51" s="13" t="inlineStr">
        <is>
          <t>Mon</t>
        </is>
      </c>
      <c r="D51" s="13" t="inlineStr">
        <is>
          <t>Office day</t>
        </is>
      </c>
      <c r="E51" s="13" t="n">
        <v>2</v>
      </c>
      <c r="F51" s="13" t="n">
        <v>8</v>
      </c>
      <c r="G51" s="13" t="inlineStr">
        <is>
          <t>Phase 2 checkpoint</t>
        </is>
      </c>
      <c r="H51" s="13" t="inlineStr">
        <is>
          <t>Dynamic programming</t>
        </is>
      </c>
      <c r="I51" s="13" t="inlineStr">
        <is>
          <t>Define dp[i] in words, write the recurrence, fix the base case, then optimise space.</t>
        </is>
      </c>
      <c r="J51" s="15" t="inlineStr">
        <is>
          <t>Climbing Stairs</t>
        </is>
      </c>
      <c r="K51" s="16" t="inlineStr">
        <is>
          <t>Easy</t>
        </is>
      </c>
      <c r="L51" s="15" t="inlineStr">
        <is>
          <t>Min Cost Climbing Stairs</t>
        </is>
      </c>
      <c r="M51" s="16" t="inlineStr">
        <is>
          <t>Easy</t>
        </is>
      </c>
      <c r="N51" s="15" t="inlineStr">
        <is>
          <t>House Robber</t>
        </is>
      </c>
      <c r="O51" s="17" t="inlineStr">
        <is>
          <t>Medium</t>
        </is>
      </c>
      <c r="P51" s="13" t="inlineStr">
        <is>
          <t>Notification system v2: retries, preferences, rate limits</t>
        </is>
      </c>
      <c r="Q51" s="13" t="inlineStr">
        <is>
          <t>• Notification v2: retries, preferences, rate limits, templates
• Priorities and quiet hours
• Checkpoint: whiteboard it in 25 minutes</t>
        </is>
      </c>
      <c r="R51" s="13" t="inlineStr">
        <is>
          <t>Logger framework LLD</t>
        </is>
      </c>
      <c r="S51" s="13" t="inlineStr">
        <is>
          <t>AWS: AWS Cloud Practitioner full mock</t>
        </is>
      </c>
      <c r="T51" s="13" t="inlineStr">
        <is>
          <t>• Solve 1 tree, 1 graph and 1 heap medium in 75 minutes
• Whiteboard notification system v2 in 25 minutes
• Implement one classic LLD (Parking Lot or Splitwise) end to end in 60 minutes
• AWS Cloud Practitioner full mock: 75%+</t>
        </is>
      </c>
    </row>
    <row r="52" ht="48" customHeight="1">
      <c r="A52" s="13" t="n">
        <v>51</v>
      </c>
      <c r="B52" s="14" t="n">
        <v>46343</v>
      </c>
      <c r="C52" s="13" t="inlineStr">
        <is>
          <t>Tue</t>
        </is>
      </c>
      <c r="D52" s="13" t="inlineStr">
        <is>
          <t>Office day</t>
        </is>
      </c>
      <c r="E52" s="13" t="n">
        <v>3</v>
      </c>
      <c r="F52" s="13" t="n">
        <v>8</v>
      </c>
      <c r="G52" s="13" t="inlineStr">
        <is>
          <t>Azure basics</t>
        </is>
      </c>
      <c r="H52" s="13" t="inlineStr">
        <is>
          <t>Dynamic programming</t>
        </is>
      </c>
      <c r="I52" s="13" t="inlineStr">
        <is>
          <t>Define dp[i] in words, write the recurrence, fix the base case, then optimise space.</t>
        </is>
      </c>
      <c r="J52" s="15" t="inlineStr">
        <is>
          <t>House Robber II</t>
        </is>
      </c>
      <c r="K52" s="17" t="inlineStr">
        <is>
          <t>Medium</t>
        </is>
      </c>
      <c r="L52" s="15" t="inlineStr">
        <is>
          <t>Longest Palindromic Substring</t>
        </is>
      </c>
      <c r="M52" s="17" t="inlineStr">
        <is>
          <t>Medium</t>
        </is>
      </c>
      <c r="N52" s="15" t="inlineStr">
        <is>
          <t>Palindromic Substrings</t>
        </is>
      </c>
      <c r="O52" s="17" t="inlineStr">
        <is>
          <t>Medium</t>
        </is>
      </c>
      <c r="P52" s="13" t="inlineStr">
        <is>
          <t>Estimation practice on a real system</t>
        </is>
      </c>
      <c r="Q52" s="13" t="inlineStr">
        <is>
          <t>• Estimate a real system you use (e.g. WhatsApp) end to end
• QPS, storage, bandwidth, servers
• Say assumptions out loud</t>
        </is>
      </c>
      <c r="R52" s="13" t="inlineStr">
        <is>
          <t>Snake and Ladder LLD</t>
        </is>
      </c>
      <c r="S52" s="13" t="inlineStr">
        <is>
          <t>Azure: Azure subscriptions, resource groups, regions (vs AWS)</t>
        </is>
      </c>
      <c r="T52" s="13" t="inlineStr"/>
    </row>
    <row r="53" ht="48" customHeight="1">
      <c r="A53" s="13" t="n">
        <v>52</v>
      </c>
      <c r="B53" s="14" t="n">
        <v>46344</v>
      </c>
      <c r="C53" s="13" t="inlineStr">
        <is>
          <t>Wed</t>
        </is>
      </c>
      <c r="D53" s="13" t="inlineStr">
        <is>
          <t>Office day</t>
        </is>
      </c>
      <c r="E53" s="13" t="n">
        <v>3</v>
      </c>
      <c r="F53" s="13" t="n">
        <v>8</v>
      </c>
      <c r="G53" s="13" t="inlineStr">
        <is>
          <t>Identity</t>
        </is>
      </c>
      <c r="H53" s="13" t="inlineStr">
        <is>
          <t>Dynamic programming</t>
        </is>
      </c>
      <c r="I53" s="13" t="inlineStr">
        <is>
          <t>Define dp[i] in words, write the recurrence, fix the base case, then optimise space.</t>
        </is>
      </c>
      <c r="J53" s="15" t="inlineStr">
        <is>
          <t>Decode Ways</t>
        </is>
      </c>
      <c r="K53" s="17" t="inlineStr">
        <is>
          <t>Medium</t>
        </is>
      </c>
      <c r="L53" s="15" t="inlineStr">
        <is>
          <t>Coin Change</t>
        </is>
      </c>
      <c r="M53" s="17" t="inlineStr">
        <is>
          <t>Medium</t>
        </is>
      </c>
      <c r="N53" s="15" t="inlineStr">
        <is>
          <t>Maximum Product Subarray</t>
        </is>
      </c>
      <c r="O53" s="17" t="inlineStr">
        <is>
          <t>Medium</t>
        </is>
      </c>
      <c r="P53" s="13" t="inlineStr">
        <is>
          <t>Design Pastebin</t>
        </is>
      </c>
      <c r="Q53" s="13" t="inlineStr">
        <is>
          <t>• Pastebin: write once, read many
• Object storage for content, DB for metadata
• Expiry, access control, caching</t>
        </is>
      </c>
      <c r="R53" s="13" t="inlineStr">
        <is>
          <t>Tic-Tac-Toe LLD</t>
        </is>
      </c>
      <c r="S53" s="13" t="inlineStr">
        <is>
          <t>Azure: Entra ID and RBAC (vs IAM)</t>
        </is>
      </c>
      <c r="T53" s="13" t="inlineStr"/>
    </row>
    <row r="54" ht="48" customHeight="1">
      <c r="A54" s="13" t="n">
        <v>53</v>
      </c>
      <c r="B54" s="14" t="n">
        <v>46345</v>
      </c>
      <c r="C54" s="13" t="inlineStr">
        <is>
          <t>Thu</t>
        </is>
      </c>
      <c r="D54" s="13" t="inlineStr">
        <is>
          <t>Office day</t>
        </is>
      </c>
      <c r="E54" s="13" t="n">
        <v>3</v>
      </c>
      <c r="F54" s="13" t="n">
        <v>8</v>
      </c>
      <c r="G54" s="13" t="inlineStr">
        <is>
          <t>Compute</t>
        </is>
      </c>
      <c r="H54" s="13" t="inlineStr">
        <is>
          <t>Dynamic programming</t>
        </is>
      </c>
      <c r="I54" s="13" t="inlineStr">
        <is>
          <t>Define dp[i] in words, write the recurrence, fix the base case, then optimise space.</t>
        </is>
      </c>
      <c r="J54" s="15" t="inlineStr">
        <is>
          <t>Word Break</t>
        </is>
      </c>
      <c r="K54" s="17" t="inlineStr">
        <is>
          <t>Medium</t>
        </is>
      </c>
      <c r="L54" s="15" t="inlineStr">
        <is>
          <t>Longest Increasing Subsequence</t>
        </is>
      </c>
      <c r="M54" s="17" t="inlineStr">
        <is>
          <t>Medium</t>
        </is>
      </c>
      <c r="N54" s="15" t="inlineStr">
        <is>
          <t>Partition Equal Subset Sum</t>
        </is>
      </c>
      <c r="O54" s="17" t="inlineStr">
        <is>
          <t>Medium</t>
        </is>
      </c>
      <c r="P54" s="13" t="inlineStr">
        <is>
          <t>Design a basic key-value store</t>
        </is>
      </c>
      <c r="Q54" s="13" t="inlineStr">
        <is>
          <t>• Key-value store API: get, put, delete with TTL
• Partitioning + replication + consistency level
• Hinted handoff and read repair (idea level)</t>
        </is>
      </c>
      <c r="R54" s="13" t="inlineStr">
        <is>
          <t>In-memory KV store with TTL</t>
        </is>
      </c>
      <c r="S54" s="13" t="inlineStr">
        <is>
          <t>Azure: Azure VMs, Scale Sets, Load Balancer (vs EC2/ASG/ELB)</t>
        </is>
      </c>
      <c r="T54" s="13" t="inlineStr"/>
    </row>
    <row r="55" ht="48" customHeight="1">
      <c r="A55" s="13" t="n">
        <v>54</v>
      </c>
      <c r="B55" s="14" t="n">
        <v>46346</v>
      </c>
      <c r="C55" s="13" t="inlineStr">
        <is>
          <t>Fri</t>
        </is>
      </c>
      <c r="D55" s="13" t="inlineStr">
        <is>
          <t>Light Friday</t>
        </is>
      </c>
      <c r="E55" s="13" t="n">
        <v>3</v>
      </c>
      <c r="F55" s="13" t="n">
        <v>8</v>
      </c>
      <c r="G55" s="13" t="inlineStr">
        <is>
          <t>Storage</t>
        </is>
      </c>
      <c r="H55" s="13" t="inlineStr">
        <is>
          <t>Dynamic programming</t>
        </is>
      </c>
      <c r="I55" s="13" t="inlineStr">
        <is>
          <t>Define dp[i] in words, write the recurrence, fix the base case, then optimise space.</t>
        </is>
      </c>
      <c r="J55" s="15" t="inlineStr">
        <is>
          <t>Fibonacci Number</t>
        </is>
      </c>
      <c r="K55" s="16" t="inlineStr">
        <is>
          <t>Easy</t>
        </is>
      </c>
      <c r="L55" s="15" t="inlineStr">
        <is>
          <t>N-th Tribonacci Number</t>
        </is>
      </c>
      <c r="M55" s="16" t="inlineStr">
        <is>
          <t>Easy</t>
        </is>
      </c>
      <c r="N55" s="15" t="inlineStr">
        <is>
          <t>Pascal's Triangle</t>
        </is>
      </c>
      <c r="O55" s="16" t="inlineStr">
        <is>
          <t>Easy</t>
        </is>
      </c>
      <c r="P55" s="13" t="inlineStr">
        <is>
          <t>Revise caching + CDN</t>
        </is>
      </c>
      <c r="Q55" s="13" t="inlineStr">
        <is>
          <t>• Revise caching strategies and CDNs
• Re-draw cache-aside with invalidation
• Map CloudFront → Front Door</t>
        </is>
      </c>
      <c r="R55" s="13" t="inlineStr">
        <is>
          <t>Revise LRU</t>
        </is>
      </c>
      <c r="S55" s="13" t="inlineStr">
        <is>
          <t>Azure: Blob Storage + Front Door (vs S3/CloudFront)</t>
        </is>
      </c>
      <c r="T55" s="13" t="inlineStr"/>
    </row>
    <row r="56" ht="48" customHeight="1">
      <c r="A56" s="13" t="n">
        <v>55</v>
      </c>
      <c r="B56" s="14" t="n">
        <v>46347</v>
      </c>
      <c r="C56" s="13" t="inlineStr">
        <is>
          <t>Sat</t>
        </is>
      </c>
      <c r="D56" s="13" t="inlineStr">
        <is>
          <t>Build Saturday</t>
        </is>
      </c>
      <c r="E56" s="13" t="n">
        <v>3</v>
      </c>
      <c r="F56" s="13" t="n">
        <v>8</v>
      </c>
      <c r="G56" s="13" t="inlineStr">
        <is>
          <t>Build: .NET on Azure</t>
        </is>
      </c>
      <c r="H56" s="13" t="inlineStr">
        <is>
          <t>Dynamic programming</t>
        </is>
      </c>
      <c r="I56" s="13" t="inlineStr">
        <is>
          <t>Define dp[i] in words, write the recurrence, fix the base case, then optimise space.</t>
        </is>
      </c>
      <c r="J56" s="15" t="inlineStr">
        <is>
          <t>Unique Paths</t>
        </is>
      </c>
      <c r="K56" s="17" t="inlineStr">
        <is>
          <t>Medium</t>
        </is>
      </c>
      <c r="L56" s="15" t="inlineStr">
        <is>
          <t>Longest Common Subsequence</t>
        </is>
      </c>
      <c r="M56" s="17" t="inlineStr">
        <is>
          <t>Medium</t>
        </is>
      </c>
      <c r="N56" s="15" t="inlineStr">
        <is>
          <t>Best Time to Buy and Sell Stock with Cooldown</t>
        </is>
      </c>
      <c r="O56" s="17" t="inlineStr">
        <is>
          <t>Medium</t>
        </is>
      </c>
      <c r="P56" s="13" t="inlineStr">
        <is>
          <t>Design a basic web crawler</t>
        </is>
      </c>
      <c r="Q56" s="13" t="inlineStr">
        <is>
          <t>• Web crawler: URL frontier, fetchers, parser, dedupe
• Politeness per domain, robots.txt
• Store content and follow links breadth-first</t>
        </is>
      </c>
      <c r="R56" s="13" t="inlineStr">
        <is>
          <t>Cache with pluggable eviction (LRU/LFU strategy)</t>
        </is>
      </c>
      <c r="S56" s="13" t="inlineStr">
        <is>
          <t>Azure: Deploy your .NET API to App Service + Azure PostgreSQL</t>
        </is>
      </c>
      <c r="T56" s="13" t="inlineStr"/>
    </row>
    <row r="57" ht="48" customHeight="1">
      <c r="A57" s="13" t="n">
        <v>56</v>
      </c>
      <c r="B57" s="14" t="n">
        <v>46348</v>
      </c>
      <c r="C57" s="13" t="inlineStr">
        <is>
          <t>Sun</t>
        </is>
      </c>
      <c r="D57" s="13" t="inlineStr">
        <is>
          <t>Review Sunday</t>
        </is>
      </c>
      <c r="E57" s="13" t="n">
        <v>3</v>
      </c>
      <c r="F57" s="13" t="n">
        <v>8</v>
      </c>
      <c r="G57" s="13" t="inlineStr">
        <is>
          <t>Review week 8</t>
        </is>
      </c>
      <c r="H57" s="13" t="inlineStr">
        <is>
          <t>Dynamic programming</t>
        </is>
      </c>
      <c r="I57" s="13" t="inlineStr">
        <is>
          <t>Define dp[i] in words, write the recurrence, fix the base case, then optimise space.</t>
        </is>
      </c>
      <c r="J57" s="15" t="inlineStr">
        <is>
          <t>Coin Change II</t>
        </is>
      </c>
      <c r="K57" s="17" t="inlineStr">
        <is>
          <t>Medium</t>
        </is>
      </c>
      <c r="L57" s="15" t="inlineStr">
        <is>
          <t>Target Sum</t>
        </is>
      </c>
      <c r="M57" s="17" t="inlineStr">
        <is>
          <t>Medium</t>
        </is>
      </c>
      <c r="N57" s="15" t="inlineStr">
        <is>
          <t>Interleaving String</t>
        </is>
      </c>
      <c r="O57" s="17" t="inlineStr">
        <is>
          <t>Medium</t>
        </is>
      </c>
      <c r="P57" s="13" t="inlineStr">
        <is>
          <t>Revise Phase 3 so far</t>
        </is>
      </c>
      <c r="Q57" s="13" t="inlineStr">
        <is>
          <t>• Revise Phase 3 so far
• Re-draw KV store and crawler
• List weak spots</t>
        </is>
      </c>
      <c r="R57" s="13" t="inlineStr">
        <is>
          <t>Recap: KV store, eviction strategies</t>
        </is>
      </c>
      <c r="S57" s="13" t="inlineStr">
        <is>
          <t>Azure: Clean up Azure resources</t>
        </is>
      </c>
      <c r="T57" s="13" t="inlineStr"/>
    </row>
    <row r="58" ht="48" customHeight="1">
      <c r="A58" s="13" t="n">
        <v>57</v>
      </c>
      <c r="B58" s="14" t="n">
        <v>46349</v>
      </c>
      <c r="C58" s="13" t="inlineStr">
        <is>
          <t>Mon</t>
        </is>
      </c>
      <c r="D58" s="13" t="inlineStr">
        <is>
          <t>Office day</t>
        </is>
      </c>
      <c r="E58" s="13" t="n">
        <v>3</v>
      </c>
      <c r="F58" s="13" t="n">
        <v>9</v>
      </c>
      <c r="G58" s="13" t="inlineStr">
        <is>
          <t>Distributed rate limiting</t>
        </is>
      </c>
      <c r="H58" s="13" t="inlineStr">
        <is>
          <t>Dynamic programming</t>
        </is>
      </c>
      <c r="I58" s="13" t="inlineStr">
        <is>
          <t>Define dp[i] in words, write the recurrence, fix the base case, then optimise space.</t>
        </is>
      </c>
      <c r="J58" s="15" t="inlineStr">
        <is>
          <t>Edit Distance</t>
        </is>
      </c>
      <c r="K58" s="17" t="inlineStr">
        <is>
          <t>Medium</t>
        </is>
      </c>
      <c r="L58" s="15" t="inlineStr">
        <is>
          <t>Minimum Path Sum</t>
        </is>
      </c>
      <c r="M58" s="17" t="inlineStr">
        <is>
          <t>Medium</t>
        </is>
      </c>
      <c r="N58" s="15" t="inlineStr">
        <is>
          <t>Maximal Square</t>
        </is>
      </c>
      <c r="O58" s="17" t="inlineStr">
        <is>
          <t>Medium</t>
        </is>
      </c>
      <c r="P58" s="13" t="inlineStr">
        <is>
          <t>Rate limiter v2 with Redis</t>
        </is>
      </c>
      <c r="Q58" s="13" t="inlineStr">
        <is>
          <t>• Distributed rate limiting with Redis INCR / sliding window
• Atomicity with Lua scripts
• Fail open vs fail closed</t>
        </is>
      </c>
      <c r="R58" s="13" t="inlineStr">
        <is>
          <t>Add sliding window to your rate limiter</t>
        </is>
      </c>
      <c r="S58" s="13" t="inlineStr">
        <is>
          <t>Azure: Azure Cache for Redis</t>
        </is>
      </c>
      <c r="T58" s="13" t="inlineStr"/>
    </row>
    <row r="59" ht="48" customHeight="1">
      <c r="A59" s="13" t="n">
        <v>58</v>
      </c>
      <c r="B59" s="14" t="n">
        <v>46350</v>
      </c>
      <c r="C59" s="13" t="inlineStr">
        <is>
          <t>Tue</t>
        </is>
      </c>
      <c r="D59" s="13" t="inlineStr">
        <is>
          <t>Office day</t>
        </is>
      </c>
      <c r="E59" s="13" t="n">
        <v>3</v>
      </c>
      <c r="F59" s="13" t="n">
        <v>9</v>
      </c>
      <c r="G59" s="13" t="inlineStr">
        <is>
          <t>Scheduling on Azure</t>
        </is>
      </c>
      <c r="H59" s="13" t="inlineStr">
        <is>
          <t>Backtracking</t>
        </is>
      </c>
      <c r="I59" s="13" t="inlineStr">
        <is>
          <t>Choose → explore → un-choose; prune early; sort first when duplicates must be skipped.</t>
        </is>
      </c>
      <c r="J59" s="15" t="inlineStr">
        <is>
          <t>Subsets</t>
        </is>
      </c>
      <c r="K59" s="17" t="inlineStr">
        <is>
          <t>Medium</t>
        </is>
      </c>
      <c r="L59" s="15" t="inlineStr">
        <is>
          <t>Combination Sum</t>
        </is>
      </c>
      <c r="M59" s="17" t="inlineStr">
        <is>
          <t>Medium</t>
        </is>
      </c>
      <c r="N59" s="15" t="inlineStr">
        <is>
          <t>Permutations</t>
        </is>
      </c>
      <c r="O59" s="17" t="inlineStr">
        <is>
          <t>Medium</t>
        </is>
      </c>
      <c r="P59" s="13" t="inlineStr">
        <is>
          <t>Design a job scheduler</t>
        </is>
      </c>
      <c r="Q59" s="13" t="inlineStr">
        <is>
          <t>• Job scheduler: API, store, dispatcher, workers
• Exactly-once-ish with leases and idempotent jobs
• Retries, backoff, dead letters</t>
        </is>
      </c>
      <c r="R59" s="13" t="inlineStr">
        <is>
          <t>Task scheduler LLD: priority queue + Command</t>
        </is>
      </c>
      <c r="S59" s="13" t="inlineStr">
        <is>
          <t>Azure: Azure Functions + timer triggers (vs Lambda/EventBridge)</t>
        </is>
      </c>
      <c r="T59" s="13" t="inlineStr"/>
    </row>
    <row r="60" ht="48" customHeight="1">
      <c r="A60" s="13" t="n">
        <v>59</v>
      </c>
      <c r="B60" s="14" t="n">
        <v>46351</v>
      </c>
      <c r="C60" s="13" t="inlineStr">
        <is>
          <t>Wed</t>
        </is>
      </c>
      <c r="D60" s="13" t="inlineStr">
        <is>
          <t>Office day</t>
        </is>
      </c>
      <c r="E60" s="13" t="n">
        <v>3</v>
      </c>
      <c r="F60" s="13" t="n">
        <v>9</v>
      </c>
      <c r="G60" s="13" t="inlineStr">
        <is>
          <t>Event-driven</t>
        </is>
      </c>
      <c r="H60" s="13" t="inlineStr">
        <is>
          <t>Backtracking</t>
        </is>
      </c>
      <c r="I60" s="13" t="inlineStr">
        <is>
          <t>Choose → explore → un-choose; prune early; sort first when duplicates must be skipped.</t>
        </is>
      </c>
      <c r="J60" s="15" t="inlineStr">
        <is>
          <t>Subsets II</t>
        </is>
      </c>
      <c r="K60" s="17" t="inlineStr">
        <is>
          <t>Medium</t>
        </is>
      </c>
      <c r="L60" s="15" t="inlineStr">
        <is>
          <t>Combination Sum II</t>
        </is>
      </c>
      <c r="M60" s="17" t="inlineStr">
        <is>
          <t>Medium</t>
        </is>
      </c>
      <c r="N60" s="15" t="inlineStr">
        <is>
          <t>Palindrome Partitioning</t>
        </is>
      </c>
      <c r="O60" s="17" t="inlineStr">
        <is>
          <t>Medium</t>
        </is>
      </c>
      <c r="P60" s="13" t="inlineStr">
        <is>
          <t>Design an event-driven order system</t>
        </is>
      </c>
      <c r="Q60" s="13" t="inlineStr">
        <is>
          <t>• Order service emits events; payment, inventory and shipping react
• Saga pattern for multi-step transactions
• Outbox pattern to publish reliably</t>
        </is>
      </c>
      <c r="R60" s="13" t="inlineStr">
        <is>
          <t>Order management with State pattern</t>
        </is>
      </c>
      <c r="S60" s="13" t="inlineStr">
        <is>
          <t>Azure: Service Bus queues and topics (vs SQS/SNS)</t>
        </is>
      </c>
      <c r="T60" s="13" t="inlineStr"/>
    </row>
    <row r="61" ht="48" customHeight="1">
      <c r="A61" s="13" t="n">
        <v>60</v>
      </c>
      <c r="B61" s="14" t="n">
        <v>46352</v>
      </c>
      <c r="C61" s="13" t="inlineStr">
        <is>
          <t>Thu</t>
        </is>
      </c>
      <c r="D61" s="13" t="inlineStr">
        <is>
          <t>Office day</t>
        </is>
      </c>
      <c r="E61" s="13" t="n">
        <v>3</v>
      </c>
      <c r="F61" s="13" t="n">
        <v>9</v>
      </c>
      <c r="G61" s="13" t="inlineStr">
        <is>
          <t>File storage</t>
        </is>
      </c>
      <c r="H61" s="13" t="inlineStr">
        <is>
          <t>Backtracking</t>
        </is>
      </c>
      <c r="I61" s="13" t="inlineStr">
        <is>
          <t>Choose → explore → un-choose; prune early; sort first when duplicates must be skipped.</t>
        </is>
      </c>
      <c r="J61" s="15" t="inlineStr">
        <is>
          <t>Letter Combinations of a Phone Number</t>
        </is>
      </c>
      <c r="K61" s="17" t="inlineStr">
        <is>
          <t>Medium</t>
        </is>
      </c>
      <c r="L61" s="15" t="inlineStr">
        <is>
          <t>N-Queens</t>
        </is>
      </c>
      <c r="M61" s="18" t="inlineStr">
        <is>
          <t>Hard</t>
        </is>
      </c>
      <c r="N61" s="15" t="inlineStr">
        <is>
          <t>Combinations</t>
        </is>
      </c>
      <c r="O61" s="17" t="inlineStr">
        <is>
          <t>Medium</t>
        </is>
      </c>
      <c r="P61" s="13" t="inlineStr">
        <is>
          <t>Design Dropbox (basic)</t>
        </is>
      </c>
      <c r="Q61" s="13" t="inlineStr">
        <is>
          <t>• Dropbox: chunked upload, dedupe, sync
• Metadata DB vs block storage
• Conflict resolution across devices</t>
        </is>
      </c>
      <c r="R61" s="13" t="inlineStr">
        <is>
          <t>File system LLD with Composite pattern</t>
        </is>
      </c>
      <c r="S61" s="13" t="inlineStr">
        <is>
          <t>Azure: Storage accounts and SAS tokens</t>
        </is>
      </c>
      <c r="T61" s="13" t="inlineStr"/>
    </row>
    <row r="62" ht="48" customHeight="1">
      <c r="A62" s="13" t="n">
        <v>61</v>
      </c>
      <c r="B62" s="14" t="n">
        <v>46353</v>
      </c>
      <c r="C62" s="13" t="inlineStr">
        <is>
          <t>Fri</t>
        </is>
      </c>
      <c r="D62" s="13" t="inlineStr">
        <is>
          <t>Light Friday</t>
        </is>
      </c>
      <c r="E62" s="13" t="n">
        <v>3</v>
      </c>
      <c r="F62" s="13" t="n">
        <v>9</v>
      </c>
      <c r="G62" s="13" t="inlineStr">
        <is>
          <t>Monitoring</t>
        </is>
      </c>
      <c r="H62" s="13" t="inlineStr">
        <is>
          <t>Greedy</t>
        </is>
      </c>
      <c r="I62" s="13" t="inlineStr">
        <is>
          <t>Prove the local choice never hurts (exchange argument) before trusting it.</t>
        </is>
      </c>
      <c r="J62" s="15" t="inlineStr">
        <is>
          <t>Assign Cookies</t>
        </is>
      </c>
      <c r="K62" s="16" t="inlineStr">
        <is>
          <t>Easy</t>
        </is>
      </c>
      <c r="L62" s="15" t="inlineStr">
        <is>
          <t>Lemonade Change</t>
        </is>
      </c>
      <c r="M62" s="16" t="inlineStr">
        <is>
          <t>Easy</t>
        </is>
      </c>
      <c r="N62" s="15" t="inlineStr">
        <is>
          <t>Best Time to Buy and Sell Stock II</t>
        </is>
      </c>
      <c r="O62" s="17" t="inlineStr">
        <is>
          <t>Medium</t>
        </is>
      </c>
      <c r="P62" s="13" t="inlineStr">
        <is>
          <t>Revise estimation</t>
        </is>
      </c>
      <c r="Q62" s="13" t="inlineStr">
        <is>
          <t>• Revise estimation
• Two quick estimates from memory
• Check your numbers against known systems</t>
        </is>
      </c>
      <c r="R62" s="13" t="inlineStr">
        <is>
          <t>Composite pattern recap</t>
        </is>
      </c>
      <c r="S62" s="13" t="inlineStr">
        <is>
          <t>Azure: Azure Monitor + App Insights (vs CloudWatch)</t>
        </is>
      </c>
      <c r="T62" s="13" t="inlineStr"/>
    </row>
    <row r="63" ht="48" customHeight="1">
      <c r="A63" s="13" t="n">
        <v>62</v>
      </c>
      <c r="B63" s="14" t="n">
        <v>46354</v>
      </c>
      <c r="C63" s="13" t="inlineStr">
        <is>
          <t>Sat</t>
        </is>
      </c>
      <c r="D63" s="13" t="inlineStr">
        <is>
          <t>Build Saturday</t>
        </is>
      </c>
      <c r="E63" s="13" t="n">
        <v>3</v>
      </c>
      <c r="F63" s="13" t="n">
        <v>9</v>
      </c>
      <c r="G63" s="13" t="inlineStr">
        <is>
          <t>Build: your project story</t>
        </is>
      </c>
      <c r="H63" s="13" t="inlineStr">
        <is>
          <t>Greedy</t>
        </is>
      </c>
      <c r="I63" s="13" t="inlineStr">
        <is>
          <t>Prove the local choice never hurts (exchange argument) before trusting it.</t>
        </is>
      </c>
      <c r="J63" s="15" t="inlineStr">
        <is>
          <t>Jump Game</t>
        </is>
      </c>
      <c r="K63" s="17" t="inlineStr">
        <is>
          <t>Medium</t>
        </is>
      </c>
      <c r="L63" s="15" t="inlineStr">
        <is>
          <t>Jump Game II</t>
        </is>
      </c>
      <c r="M63" s="17" t="inlineStr">
        <is>
          <t>Medium</t>
        </is>
      </c>
      <c r="N63" s="15" t="inlineStr">
        <is>
          <t>Gas Station</t>
        </is>
      </c>
      <c r="O63" s="17" t="inlineStr">
        <is>
          <t>Medium</t>
        </is>
      </c>
      <c r="P63" s="13" t="inlineStr">
        <is>
          <t>Explain your traffic platform: data flow, queues, scale</t>
        </is>
      </c>
      <c r="Q63" s="13" t="inlineStr">
        <is>
          <t>• Tell your traffic platform story: data flow, queues, scale
• What you would change at 10x
• Practise the 5-minute version</t>
        </is>
      </c>
      <c r="R63" s="13" t="inlineStr">
        <is>
          <t>Timed mock: Parking Lot in 45 min</t>
        </is>
      </c>
      <c r="S63" s="13" t="inlineStr">
        <is>
          <t>Azure: Container Apps / AKS + ACR (vs ECS/ECR)</t>
        </is>
      </c>
      <c r="T63" s="13" t="inlineStr"/>
    </row>
    <row r="64" ht="48" customHeight="1">
      <c r="A64" s="13" t="n">
        <v>63</v>
      </c>
      <c r="B64" s="14" t="n">
        <v>46355</v>
      </c>
      <c r="C64" s="13" t="inlineStr">
        <is>
          <t>Sun</t>
        </is>
      </c>
      <c r="D64" s="13" t="inlineStr">
        <is>
          <t>Review Sunday</t>
        </is>
      </c>
      <c r="E64" s="13" t="n">
        <v>3</v>
      </c>
      <c r="F64" s="13" t="n">
        <v>9</v>
      </c>
      <c r="G64" s="13" t="inlineStr">
        <is>
          <t>Review week 9</t>
        </is>
      </c>
      <c r="H64" s="13" t="inlineStr">
        <is>
          <t>Greedy</t>
        </is>
      </c>
      <c r="I64" s="13" t="inlineStr">
        <is>
          <t>Prove the local choice never hurts (exchange argument) before trusting it.</t>
        </is>
      </c>
      <c r="J64" s="15" t="inlineStr">
        <is>
          <t>Partition Labels</t>
        </is>
      </c>
      <c r="K64" s="17" t="inlineStr">
        <is>
          <t>Medium</t>
        </is>
      </c>
      <c r="L64" s="15" t="inlineStr">
        <is>
          <t>Hand of Straights</t>
        </is>
      </c>
      <c r="M64" s="17" t="inlineStr">
        <is>
          <t>Medium</t>
        </is>
      </c>
      <c r="N64" s="15" t="inlineStr">
        <is>
          <t>Valid Parenthesis String</t>
        </is>
      </c>
      <c r="O64" s="17" t="inlineStr">
        <is>
          <t>Medium</t>
        </is>
      </c>
      <c r="P64" s="13" t="inlineStr">
        <is>
          <t>Revise all HLD case studies</t>
        </is>
      </c>
      <c r="Q64" s="13" t="inlineStr">
        <is>
          <t>• Revise all HLD case studies
• One template: requirements → estimate → API → data → design → scale
• List weak spots</t>
        </is>
      </c>
      <c r="R64" s="13" t="inlineStr">
        <is>
          <t>Recap: Composite, Command, State</t>
        </is>
      </c>
      <c r="S64" s="13" t="inlineStr">
        <is>
          <t>Azure: Clean up Azure resources</t>
        </is>
      </c>
      <c r="T64" s="13" t="inlineStr"/>
    </row>
    <row r="65" ht="48" customHeight="1">
      <c r="A65" s="13" t="n">
        <v>64</v>
      </c>
      <c r="B65" s="14" t="n">
        <v>46356</v>
      </c>
      <c r="C65" s="13" t="inlineStr">
        <is>
          <t>Mon</t>
        </is>
      </c>
      <c r="D65" s="13" t="inlineStr">
        <is>
          <t>Office day</t>
        </is>
      </c>
      <c r="E65" s="13" t="n">
        <v>3</v>
      </c>
      <c r="F65" s="13" t="n">
        <v>10</v>
      </c>
      <c r="G65" s="13" t="inlineStr">
        <is>
          <t>Leaderboards</t>
        </is>
      </c>
      <c r="H65" s="13" t="inlineStr">
        <is>
          <t>Hashing</t>
        </is>
      </c>
      <c r="I65" s="13" t="inlineStr">
        <is>
          <t>Map each item to a canonical key (sorted string, pattern, count signature) and compare keys.</t>
        </is>
      </c>
      <c r="J65" s="15" t="inlineStr">
        <is>
          <t>Isomorphic Strings</t>
        </is>
      </c>
      <c r="K65" s="16" t="inlineStr">
        <is>
          <t>Easy</t>
        </is>
      </c>
      <c r="L65" s="15" t="inlineStr">
        <is>
          <t>Word Pattern</t>
        </is>
      </c>
      <c r="M65" s="16" t="inlineStr">
        <is>
          <t>Easy</t>
        </is>
      </c>
      <c r="N65" s="15" t="inlineStr">
        <is>
          <t>Determine if Two Strings Are Close</t>
        </is>
      </c>
      <c r="O65" s="17" t="inlineStr">
        <is>
          <t>Medium</t>
        </is>
      </c>
      <c r="P65" s="13" t="inlineStr">
        <is>
          <t>Design a leaderboard</t>
        </is>
      </c>
      <c r="Q65" s="13" t="inlineStr">
        <is>
          <t>• Leaderboard: Redis sorted sets
• Top-N and rank of a user
• Sharded leaderboards for huge scale</t>
        </is>
      </c>
      <c r="R65" s="13" t="inlineStr">
        <is>
          <t>Leaderboard LLD with sorted structures</t>
        </is>
      </c>
      <c r="S65" s="13" t="inlineStr">
        <is>
          <t>Azure: Cosmos DB and partition keys (vs DynamoDB)</t>
        </is>
      </c>
      <c r="T65" s="13" t="inlineStr"/>
    </row>
    <row r="66" ht="48" customHeight="1">
      <c r="A66" s="13" t="n">
        <v>65</v>
      </c>
      <c r="B66" s="14" t="n">
        <v>46357</v>
      </c>
      <c r="C66" s="13" t="inlineStr">
        <is>
          <t>Tue</t>
        </is>
      </c>
      <c r="D66" s="13" t="inlineStr">
        <is>
          <t>Office day</t>
        </is>
      </c>
      <c r="E66" s="13" t="n">
        <v>3</v>
      </c>
      <c r="F66" s="13" t="n">
        <v>10</v>
      </c>
      <c r="G66" s="13" t="inlineStr">
        <is>
          <t>Social feed</t>
        </is>
      </c>
      <c r="H66" s="13" t="inlineStr">
        <is>
          <t>Graphs (BFS / DFS / union-find)</t>
        </is>
      </c>
      <c r="I66" s="13" t="inlineStr">
        <is>
          <t>Grid or adjacency list; BFS for shortest steps, DFS for components, topo sort for dependencies.</t>
        </is>
      </c>
      <c r="J66" s="15" t="inlineStr">
        <is>
          <t>Is Graph Bipartite?</t>
        </is>
      </c>
      <c r="K66" s="17" t="inlineStr">
        <is>
          <t>Medium</t>
        </is>
      </c>
      <c r="L66" s="15" t="inlineStr">
        <is>
          <t>Evaluate Division</t>
        </is>
      </c>
      <c r="M66" s="17" t="inlineStr">
        <is>
          <t>Medium</t>
        </is>
      </c>
      <c r="N66" s="15" t="inlineStr">
        <is>
          <t>Find Eventual Safe States</t>
        </is>
      </c>
      <c r="O66" s="17" t="inlineStr">
        <is>
          <t>Medium</t>
        </is>
      </c>
      <c r="P66" s="13" t="inlineStr">
        <is>
          <t>Design Instagram (upload + feed, basic)</t>
        </is>
      </c>
      <c r="Q66" s="13" t="inlineStr">
        <is>
          <t>• Instagram: upload pipeline + feed
• Fan-out on write vs on read, celebrity problem
• Media on CDN, metadata in DB</t>
        </is>
      </c>
      <c r="R66" s="13" t="inlineStr">
        <is>
          <t>Posts, followers, feed classes</t>
        </is>
      </c>
      <c r="S66" s="13" t="inlineStr">
        <is>
          <t>Azure: Event Grid (vs EventBridge)</t>
        </is>
      </c>
      <c r="T66" s="13" t="inlineStr"/>
    </row>
    <row r="67" ht="48" customHeight="1">
      <c r="A67" s="13" t="n">
        <v>66</v>
      </c>
      <c r="B67" s="14" t="n">
        <v>46358</v>
      </c>
      <c r="C67" s="13" t="inlineStr">
        <is>
          <t>Wed</t>
        </is>
      </c>
      <c r="D67" s="13" t="inlineStr">
        <is>
          <t>Office day</t>
        </is>
      </c>
      <c r="E67" s="13" t="n">
        <v>3</v>
      </c>
      <c r="F67" s="13" t="n">
        <v>10</v>
      </c>
      <c r="G67" s="13" t="inlineStr">
        <is>
          <t>Messaging</t>
        </is>
      </c>
      <c r="H67" s="13" t="inlineStr">
        <is>
          <t>Design data structures</t>
        </is>
      </c>
      <c r="I67" s="13" t="inlineStr">
        <is>
          <t>Combine structures: HashMap for lookup + array/list for order or random access.</t>
        </is>
      </c>
      <c r="J67" s="15" t="inlineStr">
        <is>
          <t>Insert Delete GetRandom O(1)</t>
        </is>
      </c>
      <c r="K67" s="17" t="inlineStr">
        <is>
          <t>Medium</t>
        </is>
      </c>
      <c r="L67" s="15" t="inlineStr">
        <is>
          <t>Design HashMap</t>
        </is>
      </c>
      <c r="M67" s="16" t="inlineStr">
        <is>
          <t>Easy</t>
        </is>
      </c>
      <c r="N67" s="15" t="inlineStr">
        <is>
          <t>Design HashSet</t>
        </is>
      </c>
      <c r="O67" s="16" t="inlineStr">
        <is>
          <t>Easy</t>
        </is>
      </c>
      <c r="P67" s="13" t="inlineStr">
        <is>
          <t>Design WhatsApp: 1:1 messages, delivery ticks</t>
        </is>
      </c>
      <c r="Q67" s="13" t="inlineStr">
        <is>
          <t>• WhatsApp: persistent connections, message queue per user
• Sent / delivered / read ticks
• Offline delivery and end-to-end encryption (idea level)</t>
        </is>
      </c>
      <c r="R67" s="13" t="inlineStr">
        <is>
          <t>Message delivery states with State pattern</t>
        </is>
      </c>
      <c r="S67" s="13" t="inlineStr">
        <is>
          <t>Azure: Azure SignalR Service</t>
        </is>
      </c>
      <c r="T67" s="13" t="inlineStr"/>
    </row>
    <row r="68" ht="48" customHeight="1">
      <c r="A68" s="13" t="n">
        <v>67</v>
      </c>
      <c r="B68" s="14" t="n">
        <v>46359</v>
      </c>
      <c r="C68" s="13" t="inlineStr">
        <is>
          <t>Thu</t>
        </is>
      </c>
      <c r="D68" s="13" t="inlineStr">
        <is>
          <t>Office day</t>
        </is>
      </c>
      <c r="E68" s="13" t="n">
        <v>3</v>
      </c>
      <c r="F68" s="13" t="n">
        <v>10</v>
      </c>
      <c r="G68" s="13" t="inlineStr">
        <is>
          <t>Video</t>
        </is>
      </c>
      <c r="H68" s="13" t="inlineStr">
        <is>
          <t>Arrays &amp; matrix</t>
        </is>
      </c>
      <c r="I68" s="13" t="inlineStr">
        <is>
          <t>In-place tricks: reverse segments, swap by index, use the first row/column as markers.</t>
        </is>
      </c>
      <c r="J68" s="15" t="inlineStr">
        <is>
          <t>First Missing Positive</t>
        </is>
      </c>
      <c r="K68" s="18" t="inlineStr">
        <is>
          <t>Hard</t>
        </is>
      </c>
      <c r="L68" s="15" t="inlineStr">
        <is>
          <t>Spiral Matrix</t>
        </is>
      </c>
      <c r="M68" s="17" t="inlineStr">
        <is>
          <t>Medium</t>
        </is>
      </c>
      <c r="N68" s="15" t="inlineStr">
        <is>
          <t>Set Matrix Zeroes</t>
        </is>
      </c>
      <c r="O68" s="17" t="inlineStr">
        <is>
          <t>Medium</t>
        </is>
      </c>
      <c r="P68" s="13" t="inlineStr">
        <is>
          <t>Design YouTube (upload, transcode, stream; basic)</t>
        </is>
      </c>
      <c r="Q68" s="13" t="inlineStr">
        <is>
          <t>• YouTube: upload, transcode to many resolutions, stream via CDN
• Adaptive bitrate streaming
• Metadata, views counting, recommendations (idea level)</t>
        </is>
      </c>
      <c r="R68" s="13" t="inlineStr">
        <is>
          <t>Transcoding pipeline with Chain of Responsibility</t>
        </is>
      </c>
      <c r="S68" s="13" t="inlineStr">
        <is>
          <t>Azure: Blob + Functions processing pipeline</t>
        </is>
      </c>
      <c r="T68" s="13" t="inlineStr"/>
    </row>
    <row r="69" ht="48" customHeight="1">
      <c r="A69" s="13" t="n">
        <v>68</v>
      </c>
      <c r="B69" s="14" t="n">
        <v>46360</v>
      </c>
      <c r="C69" s="13" t="inlineStr">
        <is>
          <t>Fri</t>
        </is>
      </c>
      <c r="D69" s="13" t="inlineStr">
        <is>
          <t>Light Friday</t>
        </is>
      </c>
      <c r="E69" s="13" t="n">
        <v>3</v>
      </c>
      <c r="F69" s="13" t="n">
        <v>10</v>
      </c>
      <c r="G69" s="13" t="inlineStr">
        <is>
          <t>Cheat sheets</t>
        </is>
      </c>
      <c r="H69" s="13" t="inlineStr">
        <is>
          <t>Math &amp; strings</t>
        </is>
      </c>
      <c r="I69" s="13" t="inlineStr">
        <is>
          <t>Handle signs, overflow and edge characters first; build results digit by digit.</t>
        </is>
      </c>
      <c r="J69" s="15" t="inlineStr">
        <is>
          <t>Palindrome Number</t>
        </is>
      </c>
      <c r="K69" s="16" t="inlineStr">
        <is>
          <t>Easy</t>
        </is>
      </c>
      <c r="L69" s="15" t="inlineStr">
        <is>
          <t>Roman to Integer</t>
        </is>
      </c>
      <c r="M69" s="16" t="inlineStr">
        <is>
          <t>Easy</t>
        </is>
      </c>
      <c r="N69" s="15" t="inlineStr">
        <is>
          <t>Length of Last Word</t>
        </is>
      </c>
      <c r="O69" s="16" t="inlineStr">
        <is>
          <t>Easy</t>
        </is>
      </c>
      <c r="P69" s="13" t="inlineStr">
        <is>
          <t>One-page template for any HLD answer</t>
        </is>
      </c>
      <c r="Q69" s="13" t="inlineStr">
        <is>
          <t>• One-page HLD answer template
• Checklist: requirements, numbers, API, schema, diagram, bottlenecks
• Practise it on one random system</t>
        </is>
      </c>
      <c r="R69" s="13" t="inlineStr">
        <is>
          <t>One-page pattern cheat sheet</t>
        </is>
      </c>
      <c r="S69" s="13" t="inlineStr">
        <is>
          <t>Azure: AZ-900 practice test</t>
        </is>
      </c>
      <c r="T69" s="13" t="inlineStr"/>
    </row>
    <row r="70" ht="48" customHeight="1">
      <c r="A70" s="13" t="n">
        <v>69</v>
      </c>
      <c r="B70" s="14" t="n">
        <v>46361</v>
      </c>
      <c r="C70" s="13" t="inlineStr">
        <is>
          <t>Sat</t>
        </is>
      </c>
      <c r="D70" s="13" t="inlineStr">
        <is>
          <t>Build Saturday</t>
        </is>
      </c>
      <c r="E70" s="13" t="n">
        <v>3</v>
      </c>
      <c r="F70" s="13" t="n">
        <v>10</v>
      </c>
      <c r="G70" s="13" t="inlineStr">
        <is>
          <t>Build: mocks</t>
        </is>
      </c>
      <c r="H70" s="13" t="inlineStr">
        <is>
          <t>Kadane / subarrays</t>
        </is>
      </c>
      <c r="I70" s="13" t="inlineStr">
        <is>
          <t>Best subarray ending here = max(x, best_ending_prev + x); keep a running global best.</t>
        </is>
      </c>
      <c r="J70" s="15" t="inlineStr">
        <is>
          <t>Maximum Subarray</t>
        </is>
      </c>
      <c r="K70" s="17" t="inlineStr">
        <is>
          <t>Medium</t>
        </is>
      </c>
      <c r="L70" s="15" t="inlineStr">
        <is>
          <t>Maximum Sum Circular Subarray</t>
        </is>
      </c>
      <c r="M70" s="17" t="inlineStr">
        <is>
          <t>Medium</t>
        </is>
      </c>
      <c r="N70" s="15" t="inlineStr">
        <is>
          <t>Longest Subarray of 1's After Deleting One Element</t>
        </is>
      </c>
      <c r="O70" s="17" t="inlineStr">
        <is>
          <t>Medium</t>
        </is>
      </c>
      <c r="P70" s="13" t="inlineStr">
        <is>
          <t>Timed mock: design Uber (basic), out loud</t>
        </is>
      </c>
      <c r="Q70" s="13" t="inlineStr">
        <is>
          <t>• Timed mock: Uber basic, out loud, 45 min
• Location updates, matching, trip state
• Record and review one weak moment</t>
        </is>
      </c>
      <c r="R70" s="13" t="inlineStr">
        <is>
          <t>Timed mock: Elevator in 45 min</t>
        </is>
      </c>
      <c r="S70" s="13" t="inlineStr">
        <is>
          <t>Azure: GitHub Actions → App Service</t>
        </is>
      </c>
      <c r="T70" s="13" t="inlineStr"/>
    </row>
    <row r="71" ht="48" customHeight="1">
      <c r="A71" s="13" t="n">
        <v>70</v>
      </c>
      <c r="B71" s="14" t="n">
        <v>46362</v>
      </c>
      <c r="C71" s="13" t="inlineStr">
        <is>
          <t>Sun</t>
        </is>
      </c>
      <c r="D71" s="13" t="inlineStr">
        <is>
          <t>Review Sunday</t>
        </is>
      </c>
      <c r="E71" s="13" t="n">
        <v>3</v>
      </c>
      <c r="F71" s="13" t="n">
        <v>10</v>
      </c>
      <c r="G71" s="13" t="inlineStr">
        <is>
          <t>Review week 10</t>
        </is>
      </c>
      <c r="H71" s="13" t="inlineStr">
        <is>
          <t>Math &amp; strings</t>
        </is>
      </c>
      <c r="I71" s="13" t="inlineStr">
        <is>
          <t>Handle signs, overflow and edge characters first; build results digit by digit.</t>
        </is>
      </c>
      <c r="J71" s="15" t="inlineStr">
        <is>
          <t>String to Integer (atoi)</t>
        </is>
      </c>
      <c r="K71" s="17" t="inlineStr">
        <is>
          <t>Medium</t>
        </is>
      </c>
      <c r="L71" s="15" t="inlineStr">
        <is>
          <t>Multiply Strings</t>
        </is>
      </c>
      <c r="M71" s="17" t="inlineStr">
        <is>
          <t>Medium</t>
        </is>
      </c>
      <c r="N71" s="15" t="inlineStr">
        <is>
          <t>Integer to Roman</t>
        </is>
      </c>
      <c r="O71" s="17" t="inlineStr">
        <is>
          <t>Medium</t>
        </is>
      </c>
      <c r="P71" s="13" t="inlineStr">
        <is>
          <t>Revise weak areas from mocks</t>
        </is>
      </c>
      <c r="Q71" s="13" t="inlineStr">
        <is>
          <t>• Revise weak areas from the mocks
• Redo one mock question in 20 minutes
• List final gaps</t>
        </is>
      </c>
      <c r="R71" s="13" t="inlineStr">
        <is>
          <t>Revise weak areas from mocks</t>
        </is>
      </c>
      <c r="S71" s="13" t="inlineStr">
        <is>
          <t>Azure: Clean up Azure resources</t>
        </is>
      </c>
      <c r="T71" s="13" t="inlineStr"/>
    </row>
    <row r="72" ht="48" customHeight="1">
      <c r="A72" s="13" t="n">
        <v>71</v>
      </c>
      <c r="B72" s="14" t="n">
        <v>46363</v>
      </c>
      <c r="C72" s="13" t="inlineStr">
        <is>
          <t>Mon</t>
        </is>
      </c>
      <c r="D72" s="13" t="inlineStr">
        <is>
          <t>Office day</t>
        </is>
      </c>
      <c r="E72" s="13" t="n">
        <v>3</v>
      </c>
      <c r="F72" s="13" t="n">
        <v>11</v>
      </c>
      <c r="G72" s="13" t="inlineStr">
        <is>
          <t>Payments</t>
        </is>
      </c>
      <c r="H72" s="13" t="inlineStr">
        <is>
          <t>Hashing</t>
        </is>
      </c>
      <c r="I72" s="13" t="inlineStr">
        <is>
          <t>Map each item to a canonical key (sorted string, pattern, count signature) and compare keys.</t>
        </is>
      </c>
      <c r="J72" s="15" t="inlineStr">
        <is>
          <t>Contains Duplicate II</t>
        </is>
      </c>
      <c r="K72" s="16" t="inlineStr">
        <is>
          <t>Easy</t>
        </is>
      </c>
      <c r="L72" s="15" t="inlineStr">
        <is>
          <t>Summary Ranges</t>
        </is>
      </c>
      <c r="M72" s="16" t="inlineStr">
        <is>
          <t>Easy</t>
        </is>
      </c>
      <c r="N72" s="15" t="inlineStr">
        <is>
          <t>Unique Number of Occurrences</t>
        </is>
      </c>
      <c r="O72" s="16" t="inlineStr">
        <is>
          <t>Easy</t>
        </is>
      </c>
      <c r="P72" s="13" t="inlineStr">
        <is>
          <t>Design a payment system: idempotency, retries</t>
        </is>
      </c>
      <c r="Q72" s="13" t="inlineStr">
        <is>
          <t>• Payments: idempotency keys, retries, reconciliation
• State machine: created → authorised → captured → refunded
• Never lose or double-charge money</t>
        </is>
      </c>
      <c r="R72" s="13" t="inlineStr">
        <is>
          <t>Payment module: Strategy for payment methods</t>
        </is>
      </c>
      <c r="S72" s="13" t="inlineStr">
        <is>
          <t>Azure: Key Vault (vs Secrets Manager)</t>
        </is>
      </c>
      <c r="T72" s="13" t="inlineStr"/>
    </row>
    <row r="73" ht="48" customHeight="1">
      <c r="A73" s="13" t="n">
        <v>72</v>
      </c>
      <c r="B73" s="14" t="n">
        <v>46364</v>
      </c>
      <c r="C73" s="13" t="inlineStr">
        <is>
          <t>Tue</t>
        </is>
      </c>
      <c r="D73" s="13" t="inlineStr">
        <is>
          <t>Office day</t>
        </is>
      </c>
      <c r="E73" s="13" t="n">
        <v>3</v>
      </c>
      <c r="F73" s="13" t="n">
        <v>11</v>
      </c>
      <c r="G73" s="13" t="inlineStr">
        <is>
          <t>Booking</t>
        </is>
      </c>
      <c r="H73" s="13" t="inlineStr">
        <is>
          <t>Graphs (BFS / DFS / union-find)</t>
        </is>
      </c>
      <c r="I73" s="13" t="inlineStr">
        <is>
          <t>Grid or adjacency list; BFS for shortest steps, DFS for components, topo sort for dependencies.</t>
        </is>
      </c>
      <c r="J73" s="15" t="inlineStr">
        <is>
          <t>Reorder Routes to Make All Paths Lead to the City Zero</t>
        </is>
      </c>
      <c r="K73" s="17" t="inlineStr">
        <is>
          <t>Medium</t>
        </is>
      </c>
      <c r="L73" s="15" t="inlineStr">
        <is>
          <t>Keys and Rooms</t>
        </is>
      </c>
      <c r="M73" s="17" t="inlineStr">
        <is>
          <t>Medium</t>
        </is>
      </c>
      <c r="N73" s="15" t="inlineStr">
        <is>
          <t>Nearest Exit from Entrance in Maze</t>
        </is>
      </c>
      <c r="O73" s="17" t="inlineStr">
        <is>
          <t>Medium</t>
        </is>
      </c>
      <c r="P73" s="13" t="inlineStr">
        <is>
          <t>Design a ticket booking system</t>
        </is>
      </c>
      <c r="Q73" s="13" t="inlineStr">
        <is>
          <t>• Ticket booking: seat map, temporary holds, payment
• Locking seats with expiry
• Handling a flash sale</t>
        </is>
      </c>
      <c r="R73" s="13" t="inlineStr">
        <is>
          <t>Timed mock: BookMyShow</t>
        </is>
      </c>
      <c r="S73" s="13" t="inlineStr">
        <is>
          <t>Azure: Azure PostgreSQL Flexible Server (vs RDS)</t>
        </is>
      </c>
      <c r="T73" s="13" t="inlineStr"/>
    </row>
    <row r="74" ht="48" customHeight="1">
      <c r="A74" s="13" t="n">
        <v>73</v>
      </c>
      <c r="B74" s="14" t="n">
        <v>46365</v>
      </c>
      <c r="C74" s="13" t="inlineStr">
        <is>
          <t>Wed</t>
        </is>
      </c>
      <c r="D74" s="13" t="inlineStr">
        <is>
          <t>Office day</t>
        </is>
      </c>
      <c r="E74" s="13" t="n">
        <v>3</v>
      </c>
      <c r="F74" s="13" t="n">
        <v>11</v>
      </c>
      <c r="G74" s="13" t="inlineStr">
        <is>
          <t>Mock day</t>
        </is>
      </c>
      <c r="H74" s="13" t="inlineStr">
        <is>
          <t>Mixed interview set (LeetCode 75)</t>
        </is>
      </c>
      <c r="I74" s="13" t="inlineStr">
        <is>
          <t>Name the pattern in the first 2 minutes, say the brute force, then optimise out loud.</t>
        </is>
      </c>
      <c r="J74" s="15" t="inlineStr">
        <is>
          <t>Merge Strings Alternately</t>
        </is>
      </c>
      <c r="K74" s="16" t="inlineStr">
        <is>
          <t>Easy</t>
        </is>
      </c>
      <c r="L74" s="15" t="inlineStr">
        <is>
          <t>Greatest Common Divisor of Strings</t>
        </is>
      </c>
      <c r="M74" s="16" t="inlineStr">
        <is>
          <t>Easy</t>
        </is>
      </c>
      <c r="N74" s="15" t="inlineStr">
        <is>
          <t>Can Place Flowers</t>
        </is>
      </c>
      <c r="O74" s="16" t="inlineStr">
        <is>
          <t>Easy</t>
        </is>
      </c>
      <c r="P74" s="13" t="inlineStr">
        <is>
          <t>Timed mock: URL shortener</t>
        </is>
      </c>
      <c r="Q74" s="13" t="inlineStr">
        <is>
          <t>• Timed mock: URL shortener, 35 min
• Hit every section of your template
• Score yourself 1-5 per section</t>
        </is>
      </c>
      <c r="R74" s="13" t="inlineStr">
        <is>
          <t>Timed mock: Splitwise</t>
        </is>
      </c>
      <c r="S74" s="13" t="inlineStr">
        <is>
          <t>Azure: VNet and NSG (vs VPC and security groups)</t>
        </is>
      </c>
      <c r="T74" s="13" t="inlineStr"/>
    </row>
    <row r="75" ht="48" customHeight="1">
      <c r="A75" s="13" t="n">
        <v>74</v>
      </c>
      <c r="B75" s="14" t="n">
        <v>46366</v>
      </c>
      <c r="C75" s="13" t="inlineStr">
        <is>
          <t>Thu</t>
        </is>
      </c>
      <c r="D75" s="13" t="inlineStr">
        <is>
          <t>Office day</t>
        </is>
      </c>
      <c r="E75" s="13" t="n">
        <v>3</v>
      </c>
      <c r="F75" s="13" t="n">
        <v>11</v>
      </c>
      <c r="G75" s="13" t="inlineStr">
        <is>
          <t>Tell your story</t>
        </is>
      </c>
      <c r="H75" s="13" t="inlineStr">
        <is>
          <t>Mixed interview set (LeetCode 75)</t>
        </is>
      </c>
      <c r="I75" s="13" t="inlineStr">
        <is>
          <t>Name the pattern in the first 2 minutes, say the brute force, then optimise out loud.</t>
        </is>
      </c>
      <c r="J75" s="15" t="inlineStr">
        <is>
          <t>Kids With the Greatest Number of Candies</t>
        </is>
      </c>
      <c r="K75" s="16" t="inlineStr">
        <is>
          <t>Easy</t>
        </is>
      </c>
      <c r="L75" s="15" t="inlineStr">
        <is>
          <t>Reverse Vowels of a String</t>
        </is>
      </c>
      <c r="M75" s="16" t="inlineStr">
        <is>
          <t>Easy</t>
        </is>
      </c>
      <c r="N75" s="15" t="inlineStr">
        <is>
          <t>Reverse Words in a String</t>
        </is>
      </c>
      <c r="O75" s="17" t="inlineStr">
        <is>
          <t>Medium</t>
        </is>
      </c>
      <c r="P75" s="13" t="inlineStr">
        <is>
          <t>Explain your project in 5 min; record yourself</t>
        </is>
      </c>
      <c r="Q75" s="13" t="inlineStr">
        <is>
          <t>• Tell your project story in 5 minutes; record it
• Problem → design → your part → impact numbers
• Prepare 3 follow-up answers</t>
        </is>
      </c>
      <c r="R75" s="13" t="inlineStr">
        <is>
          <t>Explain design choices in your own codebase</t>
        </is>
      </c>
      <c r="S75" s="13" t="inlineStr">
        <is>
          <t>Azure: Build an AWS ↔ Azure mapping table</t>
        </is>
      </c>
      <c r="T75" s="13" t="inlineStr"/>
    </row>
    <row r="76" ht="62" customHeight="1">
      <c r="A76" s="13" t="n">
        <v>75</v>
      </c>
      <c r="B76" s="14" t="n">
        <v>46367</v>
      </c>
      <c r="C76" s="13" t="inlineStr">
        <is>
          <t>Fri</t>
        </is>
      </c>
      <c r="D76" s="13" t="inlineStr">
        <is>
          <t>Light Friday</t>
        </is>
      </c>
      <c r="E76" s="13" t="n">
        <v>3</v>
      </c>
      <c r="F76" s="13" t="n">
        <v>11</v>
      </c>
      <c r="G76" s="13" t="inlineStr">
        <is>
          <t>Day 75: finish line</t>
        </is>
      </c>
      <c r="H76" s="13" t="inlineStr">
        <is>
          <t>Mixed interview set (LeetCode 75)</t>
        </is>
      </c>
      <c r="I76" s="13" t="inlineStr">
        <is>
          <t>Name the pattern in the first 2 minutes, say the brute force, then optimise out loud.</t>
        </is>
      </c>
      <c r="J76" s="15" t="inlineStr">
        <is>
          <t>String Compression</t>
        </is>
      </c>
      <c r="K76" s="17" t="inlineStr">
        <is>
          <t>Medium</t>
        </is>
      </c>
      <c r="L76" s="15" t="inlineStr">
        <is>
          <t>Max Number of K-Sum Pairs</t>
        </is>
      </c>
      <c r="M76" s="17" t="inlineStr">
        <is>
          <t>Medium</t>
        </is>
      </c>
      <c r="N76" s="15" t="inlineStr">
        <is>
          <t>Increasing Triplet Subsequence</t>
        </is>
      </c>
      <c r="O76" s="17" t="inlineStr">
        <is>
          <t>Medium</t>
        </is>
      </c>
      <c r="P76" s="13" t="inlineStr">
        <is>
          <t>Final mock: notification system</t>
        </is>
      </c>
      <c r="Q76" s="13" t="inlineStr">
        <is>
          <t>• Final mock: notification system
• Final LLD mock: Parking Lot
• Write what you will keep doing after Day 75</t>
        </is>
      </c>
      <c r="R76" s="13" t="inlineStr">
        <is>
          <t>Final mock: Parking Lot</t>
        </is>
      </c>
      <c r="S76" s="13" t="inlineStr">
        <is>
          <t>Azure: Write resume bullets for your cloud projects</t>
        </is>
      </c>
      <c r="T76" s="13" t="inlineStr">
        <is>
          <t>• Two timed mocks (HLD + LLD) completed and scored
• 225 LeetCode problems attempted; every ↻ revisit re-solved
• Project story recorded in 5 minutes
• Resume bullets written for AWS and Azure projects</t>
        </is>
      </c>
    </row>
  </sheetData>
  <autoFilter ref="A1:T76"/>
  <hyperlinks>
    <hyperlink xmlns:r="http://schemas.openxmlformats.org/officeDocument/2006/relationships" ref="J2" r:id="rId1"/>
    <hyperlink xmlns:r="http://schemas.openxmlformats.org/officeDocument/2006/relationships" ref="L2" r:id="rId2"/>
    <hyperlink xmlns:r="http://schemas.openxmlformats.org/officeDocument/2006/relationships" ref="N2" r:id="rId3"/>
    <hyperlink xmlns:r="http://schemas.openxmlformats.org/officeDocument/2006/relationships" ref="J3" r:id="rId4"/>
    <hyperlink xmlns:r="http://schemas.openxmlformats.org/officeDocument/2006/relationships" ref="L3" r:id="rId5"/>
    <hyperlink xmlns:r="http://schemas.openxmlformats.org/officeDocument/2006/relationships" ref="N3" r:id="rId6"/>
    <hyperlink xmlns:r="http://schemas.openxmlformats.org/officeDocument/2006/relationships" ref="J4" r:id="rId7"/>
    <hyperlink xmlns:r="http://schemas.openxmlformats.org/officeDocument/2006/relationships" ref="L4" r:id="rId8"/>
    <hyperlink xmlns:r="http://schemas.openxmlformats.org/officeDocument/2006/relationships" ref="N4" r:id="rId9"/>
    <hyperlink xmlns:r="http://schemas.openxmlformats.org/officeDocument/2006/relationships" ref="J5" r:id="rId10"/>
    <hyperlink xmlns:r="http://schemas.openxmlformats.org/officeDocument/2006/relationships" ref="L5" r:id="rId11"/>
    <hyperlink xmlns:r="http://schemas.openxmlformats.org/officeDocument/2006/relationships" ref="N5" r:id="rId12"/>
    <hyperlink xmlns:r="http://schemas.openxmlformats.org/officeDocument/2006/relationships" ref="J6" r:id="rId13"/>
    <hyperlink xmlns:r="http://schemas.openxmlformats.org/officeDocument/2006/relationships" ref="L6" r:id="rId14"/>
    <hyperlink xmlns:r="http://schemas.openxmlformats.org/officeDocument/2006/relationships" ref="N6" r:id="rId15"/>
    <hyperlink xmlns:r="http://schemas.openxmlformats.org/officeDocument/2006/relationships" ref="J7" r:id="rId16"/>
    <hyperlink xmlns:r="http://schemas.openxmlformats.org/officeDocument/2006/relationships" ref="L7" r:id="rId17"/>
    <hyperlink xmlns:r="http://schemas.openxmlformats.org/officeDocument/2006/relationships" ref="N7" r:id="rId18"/>
    <hyperlink xmlns:r="http://schemas.openxmlformats.org/officeDocument/2006/relationships" ref="J8" r:id="rId19"/>
    <hyperlink xmlns:r="http://schemas.openxmlformats.org/officeDocument/2006/relationships" ref="L8" r:id="rId20"/>
    <hyperlink xmlns:r="http://schemas.openxmlformats.org/officeDocument/2006/relationships" ref="N8" r:id="rId21"/>
    <hyperlink xmlns:r="http://schemas.openxmlformats.org/officeDocument/2006/relationships" ref="J9" r:id="rId22"/>
    <hyperlink xmlns:r="http://schemas.openxmlformats.org/officeDocument/2006/relationships" ref="L9" r:id="rId23"/>
    <hyperlink xmlns:r="http://schemas.openxmlformats.org/officeDocument/2006/relationships" ref="N9" r:id="rId24"/>
    <hyperlink xmlns:r="http://schemas.openxmlformats.org/officeDocument/2006/relationships" ref="J10" r:id="rId25"/>
    <hyperlink xmlns:r="http://schemas.openxmlformats.org/officeDocument/2006/relationships" ref="L10" r:id="rId26"/>
    <hyperlink xmlns:r="http://schemas.openxmlformats.org/officeDocument/2006/relationships" ref="N10" r:id="rId27"/>
    <hyperlink xmlns:r="http://schemas.openxmlformats.org/officeDocument/2006/relationships" ref="J11" r:id="rId28"/>
    <hyperlink xmlns:r="http://schemas.openxmlformats.org/officeDocument/2006/relationships" ref="L11" r:id="rId29"/>
    <hyperlink xmlns:r="http://schemas.openxmlformats.org/officeDocument/2006/relationships" ref="N11" r:id="rId30"/>
    <hyperlink xmlns:r="http://schemas.openxmlformats.org/officeDocument/2006/relationships" ref="J12" r:id="rId31"/>
    <hyperlink xmlns:r="http://schemas.openxmlformats.org/officeDocument/2006/relationships" ref="L12" r:id="rId32"/>
    <hyperlink xmlns:r="http://schemas.openxmlformats.org/officeDocument/2006/relationships" ref="N12" r:id="rId33"/>
    <hyperlink xmlns:r="http://schemas.openxmlformats.org/officeDocument/2006/relationships" ref="J13" r:id="rId34"/>
    <hyperlink xmlns:r="http://schemas.openxmlformats.org/officeDocument/2006/relationships" ref="L13" r:id="rId35"/>
    <hyperlink xmlns:r="http://schemas.openxmlformats.org/officeDocument/2006/relationships" ref="N13" r:id="rId36"/>
    <hyperlink xmlns:r="http://schemas.openxmlformats.org/officeDocument/2006/relationships" ref="J14" r:id="rId37"/>
    <hyperlink xmlns:r="http://schemas.openxmlformats.org/officeDocument/2006/relationships" ref="L14" r:id="rId38"/>
    <hyperlink xmlns:r="http://schemas.openxmlformats.org/officeDocument/2006/relationships" ref="N14" r:id="rId39"/>
    <hyperlink xmlns:r="http://schemas.openxmlformats.org/officeDocument/2006/relationships" ref="J15" r:id="rId40"/>
    <hyperlink xmlns:r="http://schemas.openxmlformats.org/officeDocument/2006/relationships" ref="L15" r:id="rId41"/>
    <hyperlink xmlns:r="http://schemas.openxmlformats.org/officeDocument/2006/relationships" ref="N15" r:id="rId42"/>
    <hyperlink xmlns:r="http://schemas.openxmlformats.org/officeDocument/2006/relationships" ref="J16" r:id="rId43"/>
    <hyperlink xmlns:r="http://schemas.openxmlformats.org/officeDocument/2006/relationships" ref="L16" r:id="rId44"/>
    <hyperlink xmlns:r="http://schemas.openxmlformats.org/officeDocument/2006/relationships" ref="N16" r:id="rId45"/>
    <hyperlink xmlns:r="http://schemas.openxmlformats.org/officeDocument/2006/relationships" ref="J17" r:id="rId46"/>
    <hyperlink xmlns:r="http://schemas.openxmlformats.org/officeDocument/2006/relationships" ref="L17" r:id="rId47"/>
    <hyperlink xmlns:r="http://schemas.openxmlformats.org/officeDocument/2006/relationships" ref="N17" r:id="rId48"/>
    <hyperlink xmlns:r="http://schemas.openxmlformats.org/officeDocument/2006/relationships" ref="J18" r:id="rId49"/>
    <hyperlink xmlns:r="http://schemas.openxmlformats.org/officeDocument/2006/relationships" ref="L18" r:id="rId50"/>
    <hyperlink xmlns:r="http://schemas.openxmlformats.org/officeDocument/2006/relationships" ref="N18" r:id="rId51"/>
    <hyperlink xmlns:r="http://schemas.openxmlformats.org/officeDocument/2006/relationships" ref="J19" r:id="rId52"/>
    <hyperlink xmlns:r="http://schemas.openxmlformats.org/officeDocument/2006/relationships" ref="L19" r:id="rId53"/>
    <hyperlink xmlns:r="http://schemas.openxmlformats.org/officeDocument/2006/relationships" ref="N19" r:id="rId54"/>
    <hyperlink xmlns:r="http://schemas.openxmlformats.org/officeDocument/2006/relationships" ref="J20" r:id="rId55"/>
    <hyperlink xmlns:r="http://schemas.openxmlformats.org/officeDocument/2006/relationships" ref="L20" r:id="rId56"/>
    <hyperlink xmlns:r="http://schemas.openxmlformats.org/officeDocument/2006/relationships" ref="N20" r:id="rId57"/>
    <hyperlink xmlns:r="http://schemas.openxmlformats.org/officeDocument/2006/relationships" ref="J21" r:id="rId58"/>
    <hyperlink xmlns:r="http://schemas.openxmlformats.org/officeDocument/2006/relationships" ref="L21" r:id="rId59"/>
    <hyperlink xmlns:r="http://schemas.openxmlformats.org/officeDocument/2006/relationships" ref="N21" r:id="rId60"/>
    <hyperlink xmlns:r="http://schemas.openxmlformats.org/officeDocument/2006/relationships" ref="J22" r:id="rId61"/>
    <hyperlink xmlns:r="http://schemas.openxmlformats.org/officeDocument/2006/relationships" ref="L22" r:id="rId62"/>
    <hyperlink xmlns:r="http://schemas.openxmlformats.org/officeDocument/2006/relationships" ref="N22" r:id="rId63"/>
    <hyperlink xmlns:r="http://schemas.openxmlformats.org/officeDocument/2006/relationships" ref="J23" r:id="rId64"/>
    <hyperlink xmlns:r="http://schemas.openxmlformats.org/officeDocument/2006/relationships" ref="L23" r:id="rId65"/>
    <hyperlink xmlns:r="http://schemas.openxmlformats.org/officeDocument/2006/relationships" ref="N23" r:id="rId66"/>
    <hyperlink xmlns:r="http://schemas.openxmlformats.org/officeDocument/2006/relationships" ref="J24" r:id="rId67"/>
    <hyperlink xmlns:r="http://schemas.openxmlformats.org/officeDocument/2006/relationships" ref="L24" r:id="rId68"/>
    <hyperlink xmlns:r="http://schemas.openxmlformats.org/officeDocument/2006/relationships" ref="N24" r:id="rId69"/>
    <hyperlink xmlns:r="http://schemas.openxmlformats.org/officeDocument/2006/relationships" ref="J25" r:id="rId70"/>
    <hyperlink xmlns:r="http://schemas.openxmlformats.org/officeDocument/2006/relationships" ref="L25" r:id="rId71"/>
    <hyperlink xmlns:r="http://schemas.openxmlformats.org/officeDocument/2006/relationships" ref="N25" r:id="rId72"/>
    <hyperlink xmlns:r="http://schemas.openxmlformats.org/officeDocument/2006/relationships" ref="J26" r:id="rId73"/>
    <hyperlink xmlns:r="http://schemas.openxmlformats.org/officeDocument/2006/relationships" ref="L26" r:id="rId74"/>
    <hyperlink xmlns:r="http://schemas.openxmlformats.org/officeDocument/2006/relationships" ref="N26" r:id="rId75"/>
    <hyperlink xmlns:r="http://schemas.openxmlformats.org/officeDocument/2006/relationships" ref="J27" r:id="rId76"/>
    <hyperlink xmlns:r="http://schemas.openxmlformats.org/officeDocument/2006/relationships" ref="L27" r:id="rId77"/>
    <hyperlink xmlns:r="http://schemas.openxmlformats.org/officeDocument/2006/relationships" ref="N27" r:id="rId78"/>
    <hyperlink xmlns:r="http://schemas.openxmlformats.org/officeDocument/2006/relationships" ref="J28" r:id="rId79"/>
    <hyperlink xmlns:r="http://schemas.openxmlformats.org/officeDocument/2006/relationships" ref="L28" r:id="rId80"/>
    <hyperlink xmlns:r="http://schemas.openxmlformats.org/officeDocument/2006/relationships" ref="N28" r:id="rId81"/>
    <hyperlink xmlns:r="http://schemas.openxmlformats.org/officeDocument/2006/relationships" ref="J29" r:id="rId82"/>
    <hyperlink xmlns:r="http://schemas.openxmlformats.org/officeDocument/2006/relationships" ref="L29" r:id="rId83"/>
    <hyperlink xmlns:r="http://schemas.openxmlformats.org/officeDocument/2006/relationships" ref="N29" r:id="rId84"/>
    <hyperlink xmlns:r="http://schemas.openxmlformats.org/officeDocument/2006/relationships" ref="J30" r:id="rId85"/>
    <hyperlink xmlns:r="http://schemas.openxmlformats.org/officeDocument/2006/relationships" ref="L30" r:id="rId86"/>
    <hyperlink xmlns:r="http://schemas.openxmlformats.org/officeDocument/2006/relationships" ref="N30" r:id="rId87"/>
    <hyperlink xmlns:r="http://schemas.openxmlformats.org/officeDocument/2006/relationships" ref="J31" r:id="rId88"/>
    <hyperlink xmlns:r="http://schemas.openxmlformats.org/officeDocument/2006/relationships" ref="L31" r:id="rId89"/>
    <hyperlink xmlns:r="http://schemas.openxmlformats.org/officeDocument/2006/relationships" ref="N31" r:id="rId90"/>
    <hyperlink xmlns:r="http://schemas.openxmlformats.org/officeDocument/2006/relationships" ref="J32" r:id="rId91"/>
    <hyperlink xmlns:r="http://schemas.openxmlformats.org/officeDocument/2006/relationships" ref="L32" r:id="rId92"/>
    <hyperlink xmlns:r="http://schemas.openxmlformats.org/officeDocument/2006/relationships" ref="N32" r:id="rId93"/>
    <hyperlink xmlns:r="http://schemas.openxmlformats.org/officeDocument/2006/relationships" ref="J33" r:id="rId94"/>
    <hyperlink xmlns:r="http://schemas.openxmlformats.org/officeDocument/2006/relationships" ref="L33" r:id="rId95"/>
    <hyperlink xmlns:r="http://schemas.openxmlformats.org/officeDocument/2006/relationships" ref="N33" r:id="rId96"/>
    <hyperlink xmlns:r="http://schemas.openxmlformats.org/officeDocument/2006/relationships" ref="J34" r:id="rId97"/>
    <hyperlink xmlns:r="http://schemas.openxmlformats.org/officeDocument/2006/relationships" ref="L34" r:id="rId98"/>
    <hyperlink xmlns:r="http://schemas.openxmlformats.org/officeDocument/2006/relationships" ref="N34" r:id="rId99"/>
    <hyperlink xmlns:r="http://schemas.openxmlformats.org/officeDocument/2006/relationships" ref="J35" r:id="rId100"/>
    <hyperlink xmlns:r="http://schemas.openxmlformats.org/officeDocument/2006/relationships" ref="L35" r:id="rId101"/>
    <hyperlink xmlns:r="http://schemas.openxmlformats.org/officeDocument/2006/relationships" ref="N35" r:id="rId102"/>
    <hyperlink xmlns:r="http://schemas.openxmlformats.org/officeDocument/2006/relationships" ref="J36" r:id="rId103"/>
    <hyperlink xmlns:r="http://schemas.openxmlformats.org/officeDocument/2006/relationships" ref="L36" r:id="rId104"/>
    <hyperlink xmlns:r="http://schemas.openxmlformats.org/officeDocument/2006/relationships" ref="N36" r:id="rId105"/>
    <hyperlink xmlns:r="http://schemas.openxmlformats.org/officeDocument/2006/relationships" ref="J37" r:id="rId106"/>
    <hyperlink xmlns:r="http://schemas.openxmlformats.org/officeDocument/2006/relationships" ref="L37" r:id="rId107"/>
    <hyperlink xmlns:r="http://schemas.openxmlformats.org/officeDocument/2006/relationships" ref="N37" r:id="rId108"/>
    <hyperlink xmlns:r="http://schemas.openxmlformats.org/officeDocument/2006/relationships" ref="J38" r:id="rId109"/>
    <hyperlink xmlns:r="http://schemas.openxmlformats.org/officeDocument/2006/relationships" ref="L38" r:id="rId110"/>
    <hyperlink xmlns:r="http://schemas.openxmlformats.org/officeDocument/2006/relationships" ref="N38" r:id="rId111"/>
    <hyperlink xmlns:r="http://schemas.openxmlformats.org/officeDocument/2006/relationships" ref="J39" r:id="rId112"/>
    <hyperlink xmlns:r="http://schemas.openxmlformats.org/officeDocument/2006/relationships" ref="L39" r:id="rId113"/>
    <hyperlink xmlns:r="http://schemas.openxmlformats.org/officeDocument/2006/relationships" ref="N39" r:id="rId114"/>
    <hyperlink xmlns:r="http://schemas.openxmlformats.org/officeDocument/2006/relationships" ref="J40" r:id="rId115"/>
    <hyperlink xmlns:r="http://schemas.openxmlformats.org/officeDocument/2006/relationships" ref="L40" r:id="rId116"/>
    <hyperlink xmlns:r="http://schemas.openxmlformats.org/officeDocument/2006/relationships" ref="N40" r:id="rId117"/>
    <hyperlink xmlns:r="http://schemas.openxmlformats.org/officeDocument/2006/relationships" ref="J41" r:id="rId118"/>
    <hyperlink xmlns:r="http://schemas.openxmlformats.org/officeDocument/2006/relationships" ref="L41" r:id="rId119"/>
    <hyperlink xmlns:r="http://schemas.openxmlformats.org/officeDocument/2006/relationships" ref="N41" r:id="rId120"/>
    <hyperlink xmlns:r="http://schemas.openxmlformats.org/officeDocument/2006/relationships" ref="J42" r:id="rId121"/>
    <hyperlink xmlns:r="http://schemas.openxmlformats.org/officeDocument/2006/relationships" ref="L42" r:id="rId122"/>
    <hyperlink xmlns:r="http://schemas.openxmlformats.org/officeDocument/2006/relationships" ref="N42" r:id="rId123"/>
    <hyperlink xmlns:r="http://schemas.openxmlformats.org/officeDocument/2006/relationships" ref="J43" r:id="rId124"/>
    <hyperlink xmlns:r="http://schemas.openxmlformats.org/officeDocument/2006/relationships" ref="L43" r:id="rId125"/>
    <hyperlink xmlns:r="http://schemas.openxmlformats.org/officeDocument/2006/relationships" ref="N43" r:id="rId126"/>
    <hyperlink xmlns:r="http://schemas.openxmlformats.org/officeDocument/2006/relationships" ref="J44" r:id="rId127"/>
    <hyperlink xmlns:r="http://schemas.openxmlformats.org/officeDocument/2006/relationships" ref="L44" r:id="rId128"/>
    <hyperlink xmlns:r="http://schemas.openxmlformats.org/officeDocument/2006/relationships" ref="N44" r:id="rId129"/>
    <hyperlink xmlns:r="http://schemas.openxmlformats.org/officeDocument/2006/relationships" ref="J45" r:id="rId130"/>
    <hyperlink xmlns:r="http://schemas.openxmlformats.org/officeDocument/2006/relationships" ref="L45" r:id="rId131"/>
    <hyperlink xmlns:r="http://schemas.openxmlformats.org/officeDocument/2006/relationships" ref="N45" r:id="rId132"/>
    <hyperlink xmlns:r="http://schemas.openxmlformats.org/officeDocument/2006/relationships" ref="J46" r:id="rId133"/>
    <hyperlink xmlns:r="http://schemas.openxmlformats.org/officeDocument/2006/relationships" ref="L46" r:id="rId134"/>
    <hyperlink xmlns:r="http://schemas.openxmlformats.org/officeDocument/2006/relationships" ref="N46" r:id="rId135"/>
    <hyperlink xmlns:r="http://schemas.openxmlformats.org/officeDocument/2006/relationships" ref="J47" r:id="rId136"/>
    <hyperlink xmlns:r="http://schemas.openxmlformats.org/officeDocument/2006/relationships" ref="L47" r:id="rId137"/>
    <hyperlink xmlns:r="http://schemas.openxmlformats.org/officeDocument/2006/relationships" ref="N47" r:id="rId138"/>
    <hyperlink xmlns:r="http://schemas.openxmlformats.org/officeDocument/2006/relationships" ref="J48" r:id="rId139"/>
    <hyperlink xmlns:r="http://schemas.openxmlformats.org/officeDocument/2006/relationships" ref="L48" r:id="rId140"/>
    <hyperlink xmlns:r="http://schemas.openxmlformats.org/officeDocument/2006/relationships" ref="N48" r:id="rId141"/>
    <hyperlink xmlns:r="http://schemas.openxmlformats.org/officeDocument/2006/relationships" ref="J49" r:id="rId142"/>
    <hyperlink xmlns:r="http://schemas.openxmlformats.org/officeDocument/2006/relationships" ref="L49" r:id="rId143"/>
    <hyperlink xmlns:r="http://schemas.openxmlformats.org/officeDocument/2006/relationships" ref="N49" r:id="rId144"/>
    <hyperlink xmlns:r="http://schemas.openxmlformats.org/officeDocument/2006/relationships" ref="J50" r:id="rId145"/>
    <hyperlink xmlns:r="http://schemas.openxmlformats.org/officeDocument/2006/relationships" ref="L50" r:id="rId146"/>
    <hyperlink xmlns:r="http://schemas.openxmlformats.org/officeDocument/2006/relationships" ref="N50" r:id="rId147"/>
    <hyperlink xmlns:r="http://schemas.openxmlformats.org/officeDocument/2006/relationships" ref="J51" r:id="rId148"/>
    <hyperlink xmlns:r="http://schemas.openxmlformats.org/officeDocument/2006/relationships" ref="L51" r:id="rId149"/>
    <hyperlink xmlns:r="http://schemas.openxmlformats.org/officeDocument/2006/relationships" ref="N51" r:id="rId150"/>
    <hyperlink xmlns:r="http://schemas.openxmlformats.org/officeDocument/2006/relationships" ref="J52" r:id="rId151"/>
    <hyperlink xmlns:r="http://schemas.openxmlformats.org/officeDocument/2006/relationships" ref="L52" r:id="rId152"/>
    <hyperlink xmlns:r="http://schemas.openxmlformats.org/officeDocument/2006/relationships" ref="N52" r:id="rId153"/>
    <hyperlink xmlns:r="http://schemas.openxmlformats.org/officeDocument/2006/relationships" ref="J53" r:id="rId154"/>
    <hyperlink xmlns:r="http://schemas.openxmlformats.org/officeDocument/2006/relationships" ref="L53" r:id="rId155"/>
    <hyperlink xmlns:r="http://schemas.openxmlformats.org/officeDocument/2006/relationships" ref="N53" r:id="rId156"/>
    <hyperlink xmlns:r="http://schemas.openxmlformats.org/officeDocument/2006/relationships" ref="J54" r:id="rId157"/>
    <hyperlink xmlns:r="http://schemas.openxmlformats.org/officeDocument/2006/relationships" ref="L54" r:id="rId158"/>
    <hyperlink xmlns:r="http://schemas.openxmlformats.org/officeDocument/2006/relationships" ref="N54" r:id="rId159"/>
    <hyperlink xmlns:r="http://schemas.openxmlformats.org/officeDocument/2006/relationships" ref="J55" r:id="rId160"/>
    <hyperlink xmlns:r="http://schemas.openxmlformats.org/officeDocument/2006/relationships" ref="L55" r:id="rId161"/>
    <hyperlink xmlns:r="http://schemas.openxmlformats.org/officeDocument/2006/relationships" ref="N55" r:id="rId162"/>
    <hyperlink xmlns:r="http://schemas.openxmlformats.org/officeDocument/2006/relationships" ref="J56" r:id="rId163"/>
    <hyperlink xmlns:r="http://schemas.openxmlformats.org/officeDocument/2006/relationships" ref="L56" r:id="rId164"/>
    <hyperlink xmlns:r="http://schemas.openxmlformats.org/officeDocument/2006/relationships" ref="N56" r:id="rId165"/>
    <hyperlink xmlns:r="http://schemas.openxmlformats.org/officeDocument/2006/relationships" ref="J57" r:id="rId166"/>
    <hyperlink xmlns:r="http://schemas.openxmlformats.org/officeDocument/2006/relationships" ref="L57" r:id="rId167"/>
    <hyperlink xmlns:r="http://schemas.openxmlformats.org/officeDocument/2006/relationships" ref="N57" r:id="rId168"/>
    <hyperlink xmlns:r="http://schemas.openxmlformats.org/officeDocument/2006/relationships" ref="J58" r:id="rId169"/>
    <hyperlink xmlns:r="http://schemas.openxmlformats.org/officeDocument/2006/relationships" ref="L58" r:id="rId170"/>
    <hyperlink xmlns:r="http://schemas.openxmlformats.org/officeDocument/2006/relationships" ref="N58" r:id="rId171"/>
    <hyperlink xmlns:r="http://schemas.openxmlformats.org/officeDocument/2006/relationships" ref="J59" r:id="rId172"/>
    <hyperlink xmlns:r="http://schemas.openxmlformats.org/officeDocument/2006/relationships" ref="L59" r:id="rId173"/>
    <hyperlink xmlns:r="http://schemas.openxmlformats.org/officeDocument/2006/relationships" ref="N59" r:id="rId174"/>
    <hyperlink xmlns:r="http://schemas.openxmlformats.org/officeDocument/2006/relationships" ref="J60" r:id="rId175"/>
    <hyperlink xmlns:r="http://schemas.openxmlformats.org/officeDocument/2006/relationships" ref="L60" r:id="rId176"/>
    <hyperlink xmlns:r="http://schemas.openxmlformats.org/officeDocument/2006/relationships" ref="N60" r:id="rId177"/>
    <hyperlink xmlns:r="http://schemas.openxmlformats.org/officeDocument/2006/relationships" ref="J61" r:id="rId178"/>
    <hyperlink xmlns:r="http://schemas.openxmlformats.org/officeDocument/2006/relationships" ref="L61" r:id="rId179"/>
    <hyperlink xmlns:r="http://schemas.openxmlformats.org/officeDocument/2006/relationships" ref="N61" r:id="rId180"/>
    <hyperlink xmlns:r="http://schemas.openxmlformats.org/officeDocument/2006/relationships" ref="J62" r:id="rId181"/>
    <hyperlink xmlns:r="http://schemas.openxmlformats.org/officeDocument/2006/relationships" ref="L62" r:id="rId182"/>
    <hyperlink xmlns:r="http://schemas.openxmlformats.org/officeDocument/2006/relationships" ref="N62" r:id="rId183"/>
    <hyperlink xmlns:r="http://schemas.openxmlformats.org/officeDocument/2006/relationships" ref="J63" r:id="rId184"/>
    <hyperlink xmlns:r="http://schemas.openxmlformats.org/officeDocument/2006/relationships" ref="L63" r:id="rId185"/>
    <hyperlink xmlns:r="http://schemas.openxmlformats.org/officeDocument/2006/relationships" ref="N63" r:id="rId186"/>
    <hyperlink xmlns:r="http://schemas.openxmlformats.org/officeDocument/2006/relationships" ref="J64" r:id="rId187"/>
    <hyperlink xmlns:r="http://schemas.openxmlformats.org/officeDocument/2006/relationships" ref="L64" r:id="rId188"/>
    <hyperlink xmlns:r="http://schemas.openxmlformats.org/officeDocument/2006/relationships" ref="N64" r:id="rId189"/>
    <hyperlink xmlns:r="http://schemas.openxmlformats.org/officeDocument/2006/relationships" ref="J65" r:id="rId190"/>
    <hyperlink xmlns:r="http://schemas.openxmlformats.org/officeDocument/2006/relationships" ref="L65" r:id="rId191"/>
    <hyperlink xmlns:r="http://schemas.openxmlformats.org/officeDocument/2006/relationships" ref="N65" r:id="rId192"/>
    <hyperlink xmlns:r="http://schemas.openxmlformats.org/officeDocument/2006/relationships" ref="J66" r:id="rId193"/>
    <hyperlink xmlns:r="http://schemas.openxmlformats.org/officeDocument/2006/relationships" ref="L66" r:id="rId194"/>
    <hyperlink xmlns:r="http://schemas.openxmlformats.org/officeDocument/2006/relationships" ref="N66" r:id="rId195"/>
    <hyperlink xmlns:r="http://schemas.openxmlformats.org/officeDocument/2006/relationships" ref="J67" r:id="rId196"/>
    <hyperlink xmlns:r="http://schemas.openxmlformats.org/officeDocument/2006/relationships" ref="L67" r:id="rId197"/>
    <hyperlink xmlns:r="http://schemas.openxmlformats.org/officeDocument/2006/relationships" ref="N67" r:id="rId198"/>
    <hyperlink xmlns:r="http://schemas.openxmlformats.org/officeDocument/2006/relationships" ref="J68" r:id="rId199"/>
    <hyperlink xmlns:r="http://schemas.openxmlformats.org/officeDocument/2006/relationships" ref="L68" r:id="rId200"/>
    <hyperlink xmlns:r="http://schemas.openxmlformats.org/officeDocument/2006/relationships" ref="N68" r:id="rId201"/>
    <hyperlink xmlns:r="http://schemas.openxmlformats.org/officeDocument/2006/relationships" ref="J69" r:id="rId202"/>
    <hyperlink xmlns:r="http://schemas.openxmlformats.org/officeDocument/2006/relationships" ref="L69" r:id="rId203"/>
    <hyperlink xmlns:r="http://schemas.openxmlformats.org/officeDocument/2006/relationships" ref="N69" r:id="rId204"/>
    <hyperlink xmlns:r="http://schemas.openxmlformats.org/officeDocument/2006/relationships" ref="J70" r:id="rId205"/>
    <hyperlink xmlns:r="http://schemas.openxmlformats.org/officeDocument/2006/relationships" ref="L70" r:id="rId206"/>
    <hyperlink xmlns:r="http://schemas.openxmlformats.org/officeDocument/2006/relationships" ref="N70" r:id="rId207"/>
    <hyperlink xmlns:r="http://schemas.openxmlformats.org/officeDocument/2006/relationships" ref="J71" r:id="rId208"/>
    <hyperlink xmlns:r="http://schemas.openxmlformats.org/officeDocument/2006/relationships" ref="L71" r:id="rId209"/>
    <hyperlink xmlns:r="http://schemas.openxmlformats.org/officeDocument/2006/relationships" ref="N71" r:id="rId210"/>
    <hyperlink xmlns:r="http://schemas.openxmlformats.org/officeDocument/2006/relationships" ref="J72" r:id="rId211"/>
    <hyperlink xmlns:r="http://schemas.openxmlformats.org/officeDocument/2006/relationships" ref="L72" r:id="rId212"/>
    <hyperlink xmlns:r="http://schemas.openxmlformats.org/officeDocument/2006/relationships" ref="N72" r:id="rId213"/>
    <hyperlink xmlns:r="http://schemas.openxmlformats.org/officeDocument/2006/relationships" ref="J73" r:id="rId214"/>
    <hyperlink xmlns:r="http://schemas.openxmlformats.org/officeDocument/2006/relationships" ref="L73" r:id="rId215"/>
    <hyperlink xmlns:r="http://schemas.openxmlformats.org/officeDocument/2006/relationships" ref="N73" r:id="rId216"/>
    <hyperlink xmlns:r="http://schemas.openxmlformats.org/officeDocument/2006/relationships" ref="J74" r:id="rId217"/>
    <hyperlink xmlns:r="http://schemas.openxmlformats.org/officeDocument/2006/relationships" ref="L74" r:id="rId218"/>
    <hyperlink xmlns:r="http://schemas.openxmlformats.org/officeDocument/2006/relationships" ref="N74" r:id="rId219"/>
    <hyperlink xmlns:r="http://schemas.openxmlformats.org/officeDocument/2006/relationships" ref="J75" r:id="rId220"/>
    <hyperlink xmlns:r="http://schemas.openxmlformats.org/officeDocument/2006/relationships" ref="L75" r:id="rId221"/>
    <hyperlink xmlns:r="http://schemas.openxmlformats.org/officeDocument/2006/relationships" ref="N75" r:id="rId222"/>
    <hyperlink xmlns:r="http://schemas.openxmlformats.org/officeDocument/2006/relationships" ref="J76" r:id="rId223"/>
    <hyperlink xmlns:r="http://schemas.openxmlformats.org/officeDocument/2006/relationships" ref="L76" r:id="rId224"/>
    <hyperlink xmlns:r="http://schemas.openxmlformats.org/officeDocument/2006/relationships" ref="N76" r:id="rId2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46" customWidth="1" min="4" max="4"/>
    <col width="10" customWidth="1" min="5" max="5"/>
    <col width="30" customWidth="1" min="6" max="6"/>
    <col width="9" customWidth="1" min="7" max="7"/>
    <col width="9" customWidth="1" min="8" max="8"/>
    <col width="40" customWidth="1" min="9" max="9"/>
  </cols>
  <sheetData>
    <row r="1" ht="30" customHeight="1">
      <c r="A1" s="8" t="inlineStr">
        <is>
          <t>#</t>
        </is>
      </c>
      <c r="B1" s="8" t="inlineStr">
        <is>
          <t>Day</t>
        </is>
      </c>
      <c r="C1" s="8" t="inlineStr">
        <is>
          <t>Date</t>
        </is>
      </c>
      <c r="D1" s="8" t="inlineStr">
        <is>
          <t>Problem</t>
        </is>
      </c>
      <c r="E1" s="8" t="inlineStr">
        <is>
          <t>Difficulty</t>
        </is>
      </c>
      <c r="F1" s="8" t="inlineStr">
        <is>
          <t>Pattern</t>
        </is>
      </c>
      <c r="G1" s="8" t="inlineStr">
        <is>
          <t>Solved</t>
        </is>
      </c>
      <c r="H1" s="8" t="inlineStr">
        <is>
          <t>Revisit</t>
        </is>
      </c>
      <c r="I1" s="8" t="inlineStr">
        <is>
          <t>Notes</t>
        </is>
      </c>
    </row>
    <row r="2">
      <c r="A2" s="9" t="n">
        <v>1</v>
      </c>
      <c r="B2" s="9" t="n">
        <v>1</v>
      </c>
      <c r="C2" s="19" t="n">
        <v>46293</v>
      </c>
      <c r="D2" s="20" t="inlineStr">
        <is>
          <t>Two Sum</t>
        </is>
      </c>
      <c r="E2" s="21" t="inlineStr">
        <is>
          <t>Easy</t>
        </is>
      </c>
      <c r="F2" s="9" t="inlineStr">
        <is>
          <t>Arrays &amp; hashing</t>
        </is>
      </c>
      <c r="G2" s="9">
        <f>IF(Tracker!E2="✓","Yes","")</f>
        <v/>
      </c>
      <c r="H2" s="9" t="inlineStr"/>
      <c r="I2" s="9" t="n"/>
    </row>
    <row r="3">
      <c r="A3" s="9" t="n">
        <v>2</v>
      </c>
      <c r="B3" s="9" t="n">
        <v>1</v>
      </c>
      <c r="C3" s="19" t="n">
        <v>46293</v>
      </c>
      <c r="D3" s="20" t="inlineStr">
        <is>
          <t>Contains Duplicate</t>
        </is>
      </c>
      <c r="E3" s="21" t="inlineStr">
        <is>
          <t>Easy</t>
        </is>
      </c>
      <c r="F3" s="9" t="inlineStr">
        <is>
          <t>Arrays &amp; hashing</t>
        </is>
      </c>
      <c r="G3" s="9">
        <f>IF(Tracker!F2="✓","Yes","")</f>
        <v/>
      </c>
      <c r="H3" s="9" t="inlineStr"/>
      <c r="I3" s="9" t="n"/>
    </row>
    <row r="4">
      <c r="A4" s="9" t="n">
        <v>3</v>
      </c>
      <c r="B4" s="9" t="n">
        <v>1</v>
      </c>
      <c r="C4" s="19" t="n">
        <v>46293</v>
      </c>
      <c r="D4" s="20" t="inlineStr">
        <is>
          <t>Valid Anagram</t>
        </is>
      </c>
      <c r="E4" s="21" t="inlineStr">
        <is>
          <t>Easy</t>
        </is>
      </c>
      <c r="F4" s="9" t="inlineStr">
        <is>
          <t>Arrays &amp; hashing</t>
        </is>
      </c>
      <c r="G4" s="9">
        <f>IF(Tracker!G2="✓","Yes","")</f>
        <v/>
      </c>
      <c r="H4" s="9" t="inlineStr"/>
      <c r="I4" s="9" t="n"/>
    </row>
    <row r="5">
      <c r="A5" s="9" t="n">
        <v>4</v>
      </c>
      <c r="B5" s="9" t="n">
        <v>2</v>
      </c>
      <c r="C5" s="19" t="n">
        <v>46294</v>
      </c>
      <c r="D5" s="20" t="inlineStr">
        <is>
          <t>Group Anagrams</t>
        </is>
      </c>
      <c r="E5" s="22" t="inlineStr">
        <is>
          <t>Medium</t>
        </is>
      </c>
      <c r="F5" s="9" t="inlineStr">
        <is>
          <t>Arrays &amp; hashing</t>
        </is>
      </c>
      <c r="G5" s="9">
        <f>IF(Tracker!E3="✓","Yes","")</f>
        <v/>
      </c>
      <c r="H5" s="9" t="inlineStr"/>
      <c r="I5" s="9" t="n"/>
    </row>
    <row r="6">
      <c r="A6" s="9" t="n">
        <v>5</v>
      </c>
      <c r="B6" s="9" t="n">
        <v>2</v>
      </c>
      <c r="C6" s="19" t="n">
        <v>46294</v>
      </c>
      <c r="D6" s="20" t="inlineStr">
        <is>
          <t>Top K Frequent Elements</t>
        </is>
      </c>
      <c r="E6" s="22" t="inlineStr">
        <is>
          <t>Medium</t>
        </is>
      </c>
      <c r="F6" s="9" t="inlineStr">
        <is>
          <t>Arrays &amp; hashing</t>
        </is>
      </c>
      <c r="G6" s="9">
        <f>IF(Tracker!F3="✓","Yes","")</f>
        <v/>
      </c>
      <c r="H6" s="9" t="inlineStr"/>
      <c r="I6" s="9" t="n"/>
    </row>
    <row r="7">
      <c r="A7" s="9" t="n">
        <v>6</v>
      </c>
      <c r="B7" s="9" t="n">
        <v>2</v>
      </c>
      <c r="C7" s="19" t="n">
        <v>46294</v>
      </c>
      <c r="D7" s="20" t="inlineStr">
        <is>
          <t>Product of Array Except Self</t>
        </is>
      </c>
      <c r="E7" s="22" t="inlineStr">
        <is>
          <t>Medium</t>
        </is>
      </c>
      <c r="F7" s="9" t="inlineStr">
        <is>
          <t>Arrays &amp; hashing</t>
        </is>
      </c>
      <c r="G7" s="9">
        <f>IF(Tracker!G3="✓","Yes","")</f>
        <v/>
      </c>
      <c r="H7" s="9" t="inlineStr"/>
      <c r="I7" s="9" t="n"/>
    </row>
    <row r="8">
      <c r="A8" s="9" t="n">
        <v>7</v>
      </c>
      <c r="B8" s="9" t="n">
        <v>3</v>
      </c>
      <c r="C8" s="19" t="n">
        <v>46295</v>
      </c>
      <c r="D8" s="20" t="inlineStr">
        <is>
          <t>Valid Sudoku</t>
        </is>
      </c>
      <c r="E8" s="22" t="inlineStr">
        <is>
          <t>Medium</t>
        </is>
      </c>
      <c r="F8" s="9" t="inlineStr">
        <is>
          <t>Arrays &amp; hashing</t>
        </is>
      </c>
      <c r="G8" s="9">
        <f>IF(Tracker!E4="✓","Yes","")</f>
        <v/>
      </c>
      <c r="H8" s="9" t="inlineStr"/>
      <c r="I8" s="9" t="n"/>
    </row>
    <row r="9">
      <c r="A9" s="9" t="n">
        <v>8</v>
      </c>
      <c r="B9" s="9" t="n">
        <v>3</v>
      </c>
      <c r="C9" s="19" t="n">
        <v>46295</v>
      </c>
      <c r="D9" s="20" t="inlineStr">
        <is>
          <t>Longest Consecutive Sequence</t>
        </is>
      </c>
      <c r="E9" s="22" t="inlineStr">
        <is>
          <t>Medium</t>
        </is>
      </c>
      <c r="F9" s="9" t="inlineStr">
        <is>
          <t>Arrays &amp; hashing</t>
        </is>
      </c>
      <c r="G9" s="9">
        <f>IF(Tracker!F4="✓","Yes","")</f>
        <v/>
      </c>
      <c r="H9" s="9" t="inlineStr"/>
      <c r="I9" s="9" t="n"/>
    </row>
    <row r="10">
      <c r="A10" s="9" t="n">
        <v>9</v>
      </c>
      <c r="B10" s="9" t="n">
        <v>3</v>
      </c>
      <c r="C10" s="19" t="n">
        <v>46295</v>
      </c>
      <c r="D10" s="20" t="inlineStr">
        <is>
          <t>Majority Element</t>
        </is>
      </c>
      <c r="E10" s="21" t="inlineStr">
        <is>
          <t>Easy</t>
        </is>
      </c>
      <c r="F10" s="9" t="inlineStr">
        <is>
          <t>Arrays &amp; hashing</t>
        </is>
      </c>
      <c r="G10" s="9">
        <f>IF(Tracker!G4="✓","Yes","")</f>
        <v/>
      </c>
      <c r="H10" s="9" t="inlineStr"/>
      <c r="I10" s="9" t="n"/>
    </row>
    <row r="11">
      <c r="A11" s="9" t="n">
        <v>10</v>
      </c>
      <c r="B11" s="9" t="n">
        <v>4</v>
      </c>
      <c r="C11" s="19" t="n">
        <v>46296</v>
      </c>
      <c r="D11" s="20" t="inlineStr">
        <is>
          <t>Valid Palindrome</t>
        </is>
      </c>
      <c r="E11" s="21" t="inlineStr">
        <is>
          <t>Easy</t>
        </is>
      </c>
      <c r="F11" s="9" t="inlineStr">
        <is>
          <t>Two pointers</t>
        </is>
      </c>
      <c r="G11" s="9">
        <f>IF(Tracker!E5="✓","Yes","")</f>
        <v/>
      </c>
      <c r="H11" s="9" t="inlineStr"/>
      <c r="I11" s="9" t="n"/>
    </row>
    <row r="12">
      <c r="A12" s="9" t="n">
        <v>11</v>
      </c>
      <c r="B12" s="9" t="n">
        <v>4</v>
      </c>
      <c r="C12" s="19" t="n">
        <v>46296</v>
      </c>
      <c r="D12" s="20" t="inlineStr">
        <is>
          <t>Two Sum II - Input Array Is Sorted</t>
        </is>
      </c>
      <c r="E12" s="22" t="inlineStr">
        <is>
          <t>Medium</t>
        </is>
      </c>
      <c r="F12" s="9" t="inlineStr">
        <is>
          <t>Two pointers</t>
        </is>
      </c>
      <c r="G12" s="9">
        <f>IF(Tracker!F5="✓","Yes","")</f>
        <v/>
      </c>
      <c r="H12" s="9" t="inlineStr"/>
      <c r="I12" s="9" t="n"/>
    </row>
    <row r="13">
      <c r="A13" s="9" t="n">
        <v>12</v>
      </c>
      <c r="B13" s="9" t="n">
        <v>4</v>
      </c>
      <c r="C13" s="19" t="n">
        <v>46296</v>
      </c>
      <c r="D13" s="20" t="inlineStr">
        <is>
          <t>3Sum</t>
        </is>
      </c>
      <c r="E13" s="22" t="inlineStr">
        <is>
          <t>Medium</t>
        </is>
      </c>
      <c r="F13" s="9" t="inlineStr">
        <is>
          <t>Two pointers</t>
        </is>
      </c>
      <c r="G13" s="9">
        <f>IF(Tracker!G5="✓","Yes","")</f>
        <v/>
      </c>
      <c r="H13" s="9" t="inlineStr"/>
      <c r="I13" s="9" t="n"/>
    </row>
    <row r="14">
      <c r="A14" s="9" t="n">
        <v>13</v>
      </c>
      <c r="B14" s="9" t="n">
        <v>5</v>
      </c>
      <c r="C14" s="19" t="n">
        <v>46297</v>
      </c>
      <c r="D14" s="20" t="inlineStr">
        <is>
          <t>Container With Most Water</t>
        </is>
      </c>
      <c r="E14" s="22" t="inlineStr">
        <is>
          <t>Medium</t>
        </is>
      </c>
      <c r="F14" s="9" t="inlineStr">
        <is>
          <t>Two pointers</t>
        </is>
      </c>
      <c r="G14" s="9">
        <f>IF(Tracker!E6="✓","Yes","")</f>
        <v/>
      </c>
      <c r="H14" s="9" t="inlineStr"/>
      <c r="I14" s="9" t="n"/>
    </row>
    <row r="15">
      <c r="A15" s="9" t="n">
        <v>14</v>
      </c>
      <c r="B15" s="9" t="n">
        <v>5</v>
      </c>
      <c r="C15" s="19" t="n">
        <v>46297</v>
      </c>
      <c r="D15" s="20" t="inlineStr">
        <is>
          <t>Remove Duplicates from Sorted Array</t>
        </is>
      </c>
      <c r="E15" s="21" t="inlineStr">
        <is>
          <t>Easy</t>
        </is>
      </c>
      <c r="F15" s="9" t="inlineStr">
        <is>
          <t>Two pointers</t>
        </is>
      </c>
      <c r="G15" s="9">
        <f>IF(Tracker!F6="✓","Yes","")</f>
        <v/>
      </c>
      <c r="H15" s="9" t="inlineStr"/>
      <c r="I15" s="9" t="n"/>
    </row>
    <row r="16">
      <c r="A16" s="9" t="n">
        <v>15</v>
      </c>
      <c r="B16" s="9" t="n">
        <v>5</v>
      </c>
      <c r="C16" s="19" t="n">
        <v>46297</v>
      </c>
      <c r="D16" s="20" t="inlineStr">
        <is>
          <t>Move Zeroes</t>
        </is>
      </c>
      <c r="E16" s="21" t="inlineStr">
        <is>
          <t>Easy</t>
        </is>
      </c>
      <c r="F16" s="9" t="inlineStr">
        <is>
          <t>Two pointers</t>
        </is>
      </c>
      <c r="G16" s="9">
        <f>IF(Tracker!G6="✓","Yes","")</f>
        <v/>
      </c>
      <c r="H16" s="9" t="inlineStr"/>
      <c r="I16" s="9" t="n"/>
    </row>
    <row r="17">
      <c r="A17" s="9" t="n">
        <v>16</v>
      </c>
      <c r="B17" s="9" t="n">
        <v>6</v>
      </c>
      <c r="C17" s="19" t="n">
        <v>46298</v>
      </c>
      <c r="D17" s="20" t="inlineStr">
        <is>
          <t>Trapping Rain Water</t>
        </is>
      </c>
      <c r="E17" s="23" t="inlineStr">
        <is>
          <t>Hard</t>
        </is>
      </c>
      <c r="F17" s="9" t="inlineStr">
        <is>
          <t>Two pointers</t>
        </is>
      </c>
      <c r="G17" s="9">
        <f>IF(Tracker!E7="✓","Yes","")</f>
        <v/>
      </c>
      <c r="H17" s="9" t="inlineStr"/>
      <c r="I17" s="9" t="n"/>
    </row>
    <row r="18">
      <c r="A18" s="9" t="n">
        <v>17</v>
      </c>
      <c r="B18" s="9" t="n">
        <v>6</v>
      </c>
      <c r="C18" s="19" t="n">
        <v>46298</v>
      </c>
      <c r="D18" s="20" t="inlineStr">
        <is>
          <t>Merge Sorted Array</t>
        </is>
      </c>
      <c r="E18" s="21" t="inlineStr">
        <is>
          <t>Easy</t>
        </is>
      </c>
      <c r="F18" s="9" t="inlineStr">
        <is>
          <t>Two pointers</t>
        </is>
      </c>
      <c r="G18" s="9">
        <f>IF(Tracker!F7="✓","Yes","")</f>
        <v/>
      </c>
      <c r="H18" s="9" t="inlineStr"/>
      <c r="I18" s="9" t="n"/>
    </row>
    <row r="19">
      <c r="A19" s="9" t="n">
        <v>18</v>
      </c>
      <c r="B19" s="9" t="n">
        <v>6</v>
      </c>
      <c r="C19" s="19" t="n">
        <v>46298</v>
      </c>
      <c r="D19" s="20" t="inlineStr">
        <is>
          <t>Reverse String</t>
        </is>
      </c>
      <c r="E19" s="21" t="inlineStr">
        <is>
          <t>Easy</t>
        </is>
      </c>
      <c r="F19" s="9" t="inlineStr">
        <is>
          <t>Two pointers</t>
        </is>
      </c>
      <c r="G19" s="9">
        <f>IF(Tracker!G7="✓","Yes","")</f>
        <v/>
      </c>
      <c r="H19" s="9" t="inlineStr"/>
      <c r="I19" s="9" t="n"/>
    </row>
    <row r="20">
      <c r="A20" s="9" t="n">
        <v>19</v>
      </c>
      <c r="B20" s="9" t="n">
        <v>7</v>
      </c>
      <c r="C20" s="19" t="n">
        <v>46299</v>
      </c>
      <c r="D20" s="20" t="inlineStr">
        <is>
          <t>Best Time to Buy and Sell Stock</t>
        </is>
      </c>
      <c r="E20" s="21" t="inlineStr">
        <is>
          <t>Easy</t>
        </is>
      </c>
      <c r="F20" s="9" t="inlineStr">
        <is>
          <t>Sliding window</t>
        </is>
      </c>
      <c r="G20" s="9">
        <f>IF(Tracker!E8="✓","Yes","")</f>
        <v/>
      </c>
      <c r="H20" s="9" t="inlineStr"/>
      <c r="I20" s="9" t="n"/>
    </row>
    <row r="21">
      <c r="A21" s="9" t="n">
        <v>20</v>
      </c>
      <c r="B21" s="9" t="n">
        <v>7</v>
      </c>
      <c r="C21" s="19" t="n">
        <v>46299</v>
      </c>
      <c r="D21" s="20" t="inlineStr">
        <is>
          <t>Longest Substring Without Repeating Characters</t>
        </is>
      </c>
      <c r="E21" s="22" t="inlineStr">
        <is>
          <t>Medium</t>
        </is>
      </c>
      <c r="F21" s="9" t="inlineStr">
        <is>
          <t>Sliding window</t>
        </is>
      </c>
      <c r="G21" s="9">
        <f>IF(Tracker!F8="✓","Yes","")</f>
        <v/>
      </c>
      <c r="H21" s="9" t="inlineStr"/>
      <c r="I21" s="9" t="n"/>
    </row>
    <row r="22">
      <c r="A22" s="9" t="n">
        <v>21</v>
      </c>
      <c r="B22" s="9" t="n">
        <v>7</v>
      </c>
      <c r="C22" s="19" t="n">
        <v>46299</v>
      </c>
      <c r="D22" s="20" t="inlineStr">
        <is>
          <t>Longest Repeating Character Replacement</t>
        </is>
      </c>
      <c r="E22" s="22" t="inlineStr">
        <is>
          <t>Medium</t>
        </is>
      </c>
      <c r="F22" s="9" t="inlineStr">
        <is>
          <t>Sliding window</t>
        </is>
      </c>
      <c r="G22" s="9">
        <f>IF(Tracker!G8="✓","Yes","")</f>
        <v/>
      </c>
      <c r="H22" s="9" t="inlineStr"/>
      <c r="I22" s="9" t="n"/>
    </row>
    <row r="23">
      <c r="A23" s="9" t="n">
        <v>22</v>
      </c>
      <c r="B23" s="9" t="n">
        <v>8</v>
      </c>
      <c r="C23" s="19" t="n">
        <v>46300</v>
      </c>
      <c r="D23" s="20" t="inlineStr">
        <is>
          <t>Permutation in String</t>
        </is>
      </c>
      <c r="E23" s="22" t="inlineStr">
        <is>
          <t>Medium</t>
        </is>
      </c>
      <c r="F23" s="9" t="inlineStr">
        <is>
          <t>Sliding window</t>
        </is>
      </c>
      <c r="G23" s="9">
        <f>IF(Tracker!E9="✓","Yes","")</f>
        <v/>
      </c>
      <c r="H23" s="9" t="inlineStr"/>
      <c r="I23" s="9" t="n"/>
    </row>
    <row r="24">
      <c r="A24" s="9" t="n">
        <v>23</v>
      </c>
      <c r="B24" s="9" t="n">
        <v>8</v>
      </c>
      <c r="C24" s="19" t="n">
        <v>46300</v>
      </c>
      <c r="D24" s="20" t="inlineStr">
        <is>
          <t>Minimum Window Substring</t>
        </is>
      </c>
      <c r="E24" s="23" t="inlineStr">
        <is>
          <t>Hard</t>
        </is>
      </c>
      <c r="F24" s="9" t="inlineStr">
        <is>
          <t>Sliding window</t>
        </is>
      </c>
      <c r="G24" s="9">
        <f>IF(Tracker!F9="✓","Yes","")</f>
        <v/>
      </c>
      <c r="H24" s="9" t="inlineStr"/>
      <c r="I24" s="9" t="n"/>
    </row>
    <row r="25">
      <c r="A25" s="9" t="n">
        <v>24</v>
      </c>
      <c r="B25" s="9" t="n">
        <v>8</v>
      </c>
      <c r="C25" s="19" t="n">
        <v>46300</v>
      </c>
      <c r="D25" s="20" t="inlineStr">
        <is>
          <t>Maximum Average Subarray I</t>
        </is>
      </c>
      <c r="E25" s="21" t="inlineStr">
        <is>
          <t>Easy</t>
        </is>
      </c>
      <c r="F25" s="9" t="inlineStr">
        <is>
          <t>Sliding window</t>
        </is>
      </c>
      <c r="G25" s="9">
        <f>IF(Tracker!G9="✓","Yes","")</f>
        <v/>
      </c>
      <c r="H25" s="9" t="inlineStr"/>
      <c r="I25" s="9" t="n"/>
    </row>
    <row r="26">
      <c r="A26" s="9" t="n">
        <v>25</v>
      </c>
      <c r="B26" s="9" t="n">
        <v>9</v>
      </c>
      <c r="C26" s="19" t="n">
        <v>46301</v>
      </c>
      <c r="D26" s="20" t="inlineStr">
        <is>
          <t>Sliding Window Maximum</t>
        </is>
      </c>
      <c r="E26" s="23" t="inlineStr">
        <is>
          <t>Hard</t>
        </is>
      </c>
      <c r="F26" s="9" t="inlineStr">
        <is>
          <t>Sliding window</t>
        </is>
      </c>
      <c r="G26" s="9">
        <f>IF(Tracker!E10="✓","Yes","")</f>
        <v/>
      </c>
      <c r="H26" s="9" t="inlineStr"/>
      <c r="I26" s="9" t="n"/>
    </row>
    <row r="27">
      <c r="A27" s="9" t="n">
        <v>26</v>
      </c>
      <c r="B27" s="9" t="n">
        <v>9</v>
      </c>
      <c r="C27" s="19" t="n">
        <v>46301</v>
      </c>
      <c r="D27" s="20" t="inlineStr">
        <is>
          <t>Minimum Size Subarray Sum</t>
        </is>
      </c>
      <c r="E27" s="22" t="inlineStr">
        <is>
          <t>Medium</t>
        </is>
      </c>
      <c r="F27" s="9" t="inlineStr">
        <is>
          <t>Sliding window</t>
        </is>
      </c>
      <c r="G27" s="9">
        <f>IF(Tracker!F10="✓","Yes","")</f>
        <v/>
      </c>
      <c r="H27" s="9" t="inlineStr"/>
      <c r="I27" s="9" t="n"/>
    </row>
    <row r="28">
      <c r="A28" s="9" t="n">
        <v>27</v>
      </c>
      <c r="B28" s="9" t="n">
        <v>9</v>
      </c>
      <c r="C28" s="19" t="n">
        <v>46301</v>
      </c>
      <c r="D28" s="20" t="inlineStr">
        <is>
          <t>Max Consecutive Ones III</t>
        </is>
      </c>
      <c r="E28" s="22" t="inlineStr">
        <is>
          <t>Medium</t>
        </is>
      </c>
      <c r="F28" s="9" t="inlineStr">
        <is>
          <t>Sliding window</t>
        </is>
      </c>
      <c r="G28" s="9">
        <f>IF(Tracker!G10="✓","Yes","")</f>
        <v/>
      </c>
      <c r="H28" s="9" t="inlineStr"/>
      <c r="I28" s="9" t="n"/>
    </row>
    <row r="29">
      <c r="A29" s="9" t="n">
        <v>28</v>
      </c>
      <c r="B29" s="9" t="n">
        <v>10</v>
      </c>
      <c r="C29" s="19" t="n">
        <v>46302</v>
      </c>
      <c r="D29" s="20" t="inlineStr">
        <is>
          <t>Valid Parentheses</t>
        </is>
      </c>
      <c r="E29" s="21" t="inlineStr">
        <is>
          <t>Easy</t>
        </is>
      </c>
      <c r="F29" s="9" t="inlineStr">
        <is>
          <t>Stack</t>
        </is>
      </c>
      <c r="G29" s="9">
        <f>IF(Tracker!E11="✓","Yes","")</f>
        <v/>
      </c>
      <c r="H29" s="9" t="inlineStr"/>
      <c r="I29" s="9" t="n"/>
    </row>
    <row r="30">
      <c r="A30" s="9" t="n">
        <v>29</v>
      </c>
      <c r="B30" s="9" t="n">
        <v>10</v>
      </c>
      <c r="C30" s="19" t="n">
        <v>46302</v>
      </c>
      <c r="D30" s="20" t="inlineStr">
        <is>
          <t>Min Stack</t>
        </is>
      </c>
      <c r="E30" s="22" t="inlineStr">
        <is>
          <t>Medium</t>
        </is>
      </c>
      <c r="F30" s="9" t="inlineStr">
        <is>
          <t>Stack</t>
        </is>
      </c>
      <c r="G30" s="9">
        <f>IF(Tracker!F11="✓","Yes","")</f>
        <v/>
      </c>
      <c r="H30" s="9" t="inlineStr"/>
      <c r="I30" s="9" t="n"/>
    </row>
    <row r="31">
      <c r="A31" s="9" t="n">
        <v>30</v>
      </c>
      <c r="B31" s="9" t="n">
        <v>10</v>
      </c>
      <c r="C31" s="19" t="n">
        <v>46302</v>
      </c>
      <c r="D31" s="20" t="inlineStr">
        <is>
          <t>Evaluate Reverse Polish Notation</t>
        </is>
      </c>
      <c r="E31" s="22" t="inlineStr">
        <is>
          <t>Medium</t>
        </is>
      </c>
      <c r="F31" s="9" t="inlineStr">
        <is>
          <t>Stack</t>
        </is>
      </c>
      <c r="G31" s="9">
        <f>IF(Tracker!G11="✓","Yes","")</f>
        <v/>
      </c>
      <c r="H31" s="9" t="inlineStr"/>
      <c r="I31" s="9" t="n"/>
    </row>
    <row r="32">
      <c r="A32" s="9" t="n">
        <v>31</v>
      </c>
      <c r="B32" s="9" t="n">
        <v>11</v>
      </c>
      <c r="C32" s="19" t="n">
        <v>46303</v>
      </c>
      <c r="D32" s="20" t="inlineStr">
        <is>
          <t>Generate Parentheses</t>
        </is>
      </c>
      <c r="E32" s="22" t="inlineStr">
        <is>
          <t>Medium</t>
        </is>
      </c>
      <c r="F32" s="9" t="inlineStr">
        <is>
          <t>Stack</t>
        </is>
      </c>
      <c r="G32" s="9">
        <f>IF(Tracker!E12="✓","Yes","")</f>
        <v/>
      </c>
      <c r="H32" s="9" t="inlineStr"/>
      <c r="I32" s="9" t="n"/>
    </row>
    <row r="33">
      <c r="A33" s="9" t="n">
        <v>32</v>
      </c>
      <c r="B33" s="9" t="n">
        <v>11</v>
      </c>
      <c r="C33" s="19" t="n">
        <v>46303</v>
      </c>
      <c r="D33" s="20" t="inlineStr">
        <is>
          <t>Daily Temperatures</t>
        </is>
      </c>
      <c r="E33" s="22" t="inlineStr">
        <is>
          <t>Medium</t>
        </is>
      </c>
      <c r="F33" s="9" t="inlineStr">
        <is>
          <t>Stack</t>
        </is>
      </c>
      <c r="G33" s="9">
        <f>IF(Tracker!F12="✓","Yes","")</f>
        <v/>
      </c>
      <c r="H33" s="9" t="inlineStr"/>
      <c r="I33" s="9" t="n"/>
    </row>
    <row r="34">
      <c r="A34" s="9" t="n">
        <v>33</v>
      </c>
      <c r="B34" s="9" t="n">
        <v>11</v>
      </c>
      <c r="C34" s="19" t="n">
        <v>46303</v>
      </c>
      <c r="D34" s="20" t="inlineStr">
        <is>
          <t>Car Fleet</t>
        </is>
      </c>
      <c r="E34" s="22" t="inlineStr">
        <is>
          <t>Medium</t>
        </is>
      </c>
      <c r="F34" s="9" t="inlineStr">
        <is>
          <t>Stack</t>
        </is>
      </c>
      <c r="G34" s="9">
        <f>IF(Tracker!G12="✓","Yes","")</f>
        <v/>
      </c>
      <c r="H34" s="9" t="inlineStr"/>
      <c r="I34" s="9" t="n"/>
    </row>
    <row r="35">
      <c r="A35" s="9" t="n">
        <v>34</v>
      </c>
      <c r="B35" s="9" t="n">
        <v>12</v>
      </c>
      <c r="C35" s="19" t="n">
        <v>46304</v>
      </c>
      <c r="D35" s="20" t="inlineStr">
        <is>
          <t>Next Greater Element I</t>
        </is>
      </c>
      <c r="E35" s="21" t="inlineStr">
        <is>
          <t>Easy</t>
        </is>
      </c>
      <c r="F35" s="9" t="inlineStr">
        <is>
          <t>Stack</t>
        </is>
      </c>
      <c r="G35" s="9">
        <f>IF(Tracker!E13="✓","Yes","")</f>
        <v/>
      </c>
      <c r="H35" s="9" t="inlineStr"/>
      <c r="I35" s="9" t="n"/>
    </row>
    <row r="36">
      <c r="A36" s="9" t="n">
        <v>35</v>
      </c>
      <c r="B36" s="9" t="n">
        <v>12</v>
      </c>
      <c r="C36" s="19" t="n">
        <v>46304</v>
      </c>
      <c r="D36" s="20" t="inlineStr">
        <is>
          <t>Implement Queue using Stacks</t>
        </is>
      </c>
      <c r="E36" s="21" t="inlineStr">
        <is>
          <t>Easy</t>
        </is>
      </c>
      <c r="F36" s="9" t="inlineStr">
        <is>
          <t>Stack</t>
        </is>
      </c>
      <c r="G36" s="9">
        <f>IF(Tracker!F13="✓","Yes","")</f>
        <v/>
      </c>
      <c r="H36" s="9" t="inlineStr"/>
      <c r="I36" s="9" t="n"/>
    </row>
    <row r="37">
      <c r="A37" s="9" t="n">
        <v>36</v>
      </c>
      <c r="B37" s="9" t="n">
        <v>12</v>
      </c>
      <c r="C37" s="19" t="n">
        <v>46304</v>
      </c>
      <c r="D37" s="20" t="inlineStr">
        <is>
          <t>Simplify Path</t>
        </is>
      </c>
      <c r="E37" s="22" t="inlineStr">
        <is>
          <t>Medium</t>
        </is>
      </c>
      <c r="F37" s="9" t="inlineStr">
        <is>
          <t>Stack</t>
        </is>
      </c>
      <c r="G37" s="9">
        <f>IF(Tracker!G13="✓","Yes","")</f>
        <v/>
      </c>
      <c r="H37" s="9" t="inlineStr"/>
      <c r="I37" s="9" t="n"/>
    </row>
    <row r="38">
      <c r="A38" s="9" t="n">
        <v>37</v>
      </c>
      <c r="B38" s="9" t="n">
        <v>13</v>
      </c>
      <c r="C38" s="19" t="n">
        <v>46305</v>
      </c>
      <c r="D38" s="20" t="inlineStr">
        <is>
          <t>Largest Rectangle in Histogram</t>
        </is>
      </c>
      <c r="E38" s="23" t="inlineStr">
        <is>
          <t>Hard</t>
        </is>
      </c>
      <c r="F38" s="9" t="inlineStr">
        <is>
          <t>Stack</t>
        </is>
      </c>
      <c r="G38" s="9">
        <f>IF(Tracker!E14="✓","Yes","")</f>
        <v/>
      </c>
      <c r="H38" s="9" t="inlineStr"/>
      <c r="I38" s="9" t="n"/>
    </row>
    <row r="39">
      <c r="A39" s="9" t="n">
        <v>38</v>
      </c>
      <c r="B39" s="9" t="n">
        <v>13</v>
      </c>
      <c r="C39" s="19" t="n">
        <v>46305</v>
      </c>
      <c r="D39" s="20" t="inlineStr">
        <is>
          <t>Online Stock Span</t>
        </is>
      </c>
      <c r="E39" s="22" t="inlineStr">
        <is>
          <t>Medium</t>
        </is>
      </c>
      <c r="F39" s="9" t="inlineStr">
        <is>
          <t>Stack</t>
        </is>
      </c>
      <c r="G39" s="9">
        <f>IF(Tracker!F14="✓","Yes","")</f>
        <v/>
      </c>
      <c r="H39" s="9" t="inlineStr"/>
      <c r="I39" s="9" t="n"/>
    </row>
    <row r="40">
      <c r="A40" s="9" t="n">
        <v>39</v>
      </c>
      <c r="B40" s="9" t="n">
        <v>13</v>
      </c>
      <c r="C40" s="19" t="n">
        <v>46305</v>
      </c>
      <c r="D40" s="20" t="inlineStr">
        <is>
          <t>Decode String</t>
        </is>
      </c>
      <c r="E40" s="22" t="inlineStr">
        <is>
          <t>Medium</t>
        </is>
      </c>
      <c r="F40" s="9" t="inlineStr">
        <is>
          <t>Stack</t>
        </is>
      </c>
      <c r="G40" s="9">
        <f>IF(Tracker!G14="✓","Yes","")</f>
        <v/>
      </c>
      <c r="H40" s="9" t="inlineStr"/>
      <c r="I40" s="9" t="n"/>
    </row>
    <row r="41">
      <c r="A41" s="9" t="n">
        <v>40</v>
      </c>
      <c r="B41" s="9" t="n">
        <v>14</v>
      </c>
      <c r="C41" s="19" t="n">
        <v>46306</v>
      </c>
      <c r="D41" s="20" t="inlineStr">
        <is>
          <t>Binary Search</t>
        </is>
      </c>
      <c r="E41" s="21" t="inlineStr">
        <is>
          <t>Easy</t>
        </is>
      </c>
      <c r="F41" s="9" t="inlineStr">
        <is>
          <t>Binary search</t>
        </is>
      </c>
      <c r="G41" s="9">
        <f>IF(Tracker!E15="✓","Yes","")</f>
        <v/>
      </c>
      <c r="H41" s="9" t="inlineStr"/>
      <c r="I41" s="9" t="n"/>
    </row>
    <row r="42">
      <c r="A42" s="9" t="n">
        <v>41</v>
      </c>
      <c r="B42" s="9" t="n">
        <v>14</v>
      </c>
      <c r="C42" s="19" t="n">
        <v>46306</v>
      </c>
      <c r="D42" s="20" t="inlineStr">
        <is>
          <t>Search Insert Position</t>
        </is>
      </c>
      <c r="E42" s="21" t="inlineStr">
        <is>
          <t>Easy</t>
        </is>
      </c>
      <c r="F42" s="9" t="inlineStr">
        <is>
          <t>Binary search</t>
        </is>
      </c>
      <c r="G42" s="9">
        <f>IF(Tracker!F15="✓","Yes","")</f>
        <v/>
      </c>
      <c r="H42" s="9" t="inlineStr"/>
      <c r="I42" s="9" t="n"/>
    </row>
    <row r="43">
      <c r="A43" s="9" t="n">
        <v>42</v>
      </c>
      <c r="B43" s="9" t="n">
        <v>14</v>
      </c>
      <c r="C43" s="19" t="n">
        <v>46306</v>
      </c>
      <c r="D43" s="20" t="inlineStr">
        <is>
          <t>Search a 2D Matrix</t>
        </is>
      </c>
      <c r="E43" s="22" t="inlineStr">
        <is>
          <t>Medium</t>
        </is>
      </c>
      <c r="F43" s="9" t="inlineStr">
        <is>
          <t>Binary search</t>
        </is>
      </c>
      <c r="G43" s="9">
        <f>IF(Tracker!G15="✓","Yes","")</f>
        <v/>
      </c>
      <c r="H43" s="9" t="inlineStr"/>
      <c r="I43" s="9" t="n"/>
    </row>
    <row r="44">
      <c r="A44" s="9" t="n">
        <v>43</v>
      </c>
      <c r="B44" s="9" t="n">
        <v>15</v>
      </c>
      <c r="C44" s="19" t="n">
        <v>46307</v>
      </c>
      <c r="D44" s="20" t="inlineStr">
        <is>
          <t>LRU Cache</t>
        </is>
      </c>
      <c r="E44" s="22" t="inlineStr">
        <is>
          <t>Medium</t>
        </is>
      </c>
      <c r="F44" s="9" t="inlineStr">
        <is>
          <t>Linked list</t>
        </is>
      </c>
      <c r="G44" s="9">
        <f>IF(Tracker!E16="✓","Yes","")</f>
        <v/>
      </c>
      <c r="H44" s="9" t="inlineStr"/>
      <c r="I44" s="9" t="n"/>
    </row>
    <row r="45">
      <c r="A45" s="9" t="n">
        <v>44</v>
      </c>
      <c r="B45" s="9" t="n">
        <v>15</v>
      </c>
      <c r="C45" s="19" t="n">
        <v>46307</v>
      </c>
      <c r="D45" s="20" t="inlineStr">
        <is>
          <t>Reverse Linked List</t>
        </is>
      </c>
      <c r="E45" s="21" t="inlineStr">
        <is>
          <t>Easy</t>
        </is>
      </c>
      <c r="F45" s="9" t="inlineStr">
        <is>
          <t>Linked list</t>
        </is>
      </c>
      <c r="G45" s="9">
        <f>IF(Tracker!F16="✓","Yes","")</f>
        <v/>
      </c>
      <c r="H45" s="9" t="inlineStr"/>
      <c r="I45" s="9" t="n"/>
    </row>
    <row r="46">
      <c r="A46" s="9" t="n">
        <v>45</v>
      </c>
      <c r="B46" s="9" t="n">
        <v>15</v>
      </c>
      <c r="C46" s="19" t="n">
        <v>46307</v>
      </c>
      <c r="D46" s="20" t="inlineStr">
        <is>
          <t>Merge Two Sorted Lists</t>
        </is>
      </c>
      <c r="E46" s="21" t="inlineStr">
        <is>
          <t>Easy</t>
        </is>
      </c>
      <c r="F46" s="9" t="inlineStr">
        <is>
          <t>Linked list</t>
        </is>
      </c>
      <c r="G46" s="9">
        <f>IF(Tracker!G16="✓","Yes","")</f>
        <v/>
      </c>
      <c r="H46" s="9" t="inlineStr"/>
      <c r="I46" s="9" t="n"/>
    </row>
    <row r="47">
      <c r="A47" s="9" t="n">
        <v>46</v>
      </c>
      <c r="B47" s="9" t="n">
        <v>16</v>
      </c>
      <c r="C47" s="19" t="n">
        <v>46308</v>
      </c>
      <c r="D47" s="20" t="inlineStr">
        <is>
          <t>Linked List Cycle</t>
        </is>
      </c>
      <c r="E47" s="21" t="inlineStr">
        <is>
          <t>Easy</t>
        </is>
      </c>
      <c r="F47" s="9" t="inlineStr">
        <is>
          <t>Linked list</t>
        </is>
      </c>
      <c r="G47" s="9">
        <f>IF(Tracker!E17="✓","Yes","")</f>
        <v/>
      </c>
      <c r="H47" s="9" t="inlineStr"/>
      <c r="I47" s="9" t="n"/>
    </row>
    <row r="48">
      <c r="A48" s="9" t="n">
        <v>47</v>
      </c>
      <c r="B48" s="9" t="n">
        <v>16</v>
      </c>
      <c r="C48" s="19" t="n">
        <v>46308</v>
      </c>
      <c r="D48" s="20" t="inlineStr">
        <is>
          <t>Reorder List</t>
        </is>
      </c>
      <c r="E48" s="22" t="inlineStr">
        <is>
          <t>Medium</t>
        </is>
      </c>
      <c r="F48" s="9" t="inlineStr">
        <is>
          <t>Linked list</t>
        </is>
      </c>
      <c r="G48" s="9">
        <f>IF(Tracker!F17="✓","Yes","")</f>
        <v/>
      </c>
      <c r="H48" s="9" t="inlineStr"/>
      <c r="I48" s="9" t="n"/>
    </row>
    <row r="49">
      <c r="A49" s="9" t="n">
        <v>48</v>
      </c>
      <c r="B49" s="9" t="n">
        <v>16</v>
      </c>
      <c r="C49" s="19" t="n">
        <v>46308</v>
      </c>
      <c r="D49" s="20" t="inlineStr">
        <is>
          <t>Remove Nth Node From End of List</t>
        </is>
      </c>
      <c r="E49" s="22" t="inlineStr">
        <is>
          <t>Medium</t>
        </is>
      </c>
      <c r="F49" s="9" t="inlineStr">
        <is>
          <t>Linked list</t>
        </is>
      </c>
      <c r="G49" s="9">
        <f>IF(Tracker!G17="✓","Yes","")</f>
        <v/>
      </c>
      <c r="H49" s="9" t="inlineStr"/>
      <c r="I49" s="9" t="n"/>
    </row>
    <row r="50">
      <c r="A50" s="9" t="n">
        <v>49</v>
      </c>
      <c r="B50" s="9" t="n">
        <v>17</v>
      </c>
      <c r="C50" s="19" t="n">
        <v>46309</v>
      </c>
      <c r="D50" s="20" t="inlineStr">
        <is>
          <t>Copy List with Random Pointer</t>
        </is>
      </c>
      <c r="E50" s="22" t="inlineStr">
        <is>
          <t>Medium</t>
        </is>
      </c>
      <c r="F50" s="9" t="inlineStr">
        <is>
          <t>Linked list</t>
        </is>
      </c>
      <c r="G50" s="9">
        <f>IF(Tracker!E18="✓","Yes","")</f>
        <v/>
      </c>
      <c r="H50" s="9" t="inlineStr"/>
      <c r="I50" s="9" t="n"/>
    </row>
    <row r="51">
      <c r="A51" s="9" t="n">
        <v>50</v>
      </c>
      <c r="B51" s="9" t="n">
        <v>17</v>
      </c>
      <c r="C51" s="19" t="n">
        <v>46309</v>
      </c>
      <c r="D51" s="20" t="inlineStr">
        <is>
          <t>Add Two Numbers</t>
        </is>
      </c>
      <c r="E51" s="22" t="inlineStr">
        <is>
          <t>Medium</t>
        </is>
      </c>
      <c r="F51" s="9" t="inlineStr">
        <is>
          <t>Linked list</t>
        </is>
      </c>
      <c r="G51" s="9">
        <f>IF(Tracker!F18="✓","Yes","")</f>
        <v/>
      </c>
      <c r="H51" s="9" t="inlineStr"/>
      <c r="I51" s="9" t="n"/>
    </row>
    <row r="52">
      <c r="A52" s="9" t="n">
        <v>51</v>
      </c>
      <c r="B52" s="9" t="n">
        <v>17</v>
      </c>
      <c r="C52" s="19" t="n">
        <v>46309</v>
      </c>
      <c r="D52" s="20" t="inlineStr">
        <is>
          <t>Find the Duplicate Number</t>
        </is>
      </c>
      <c r="E52" s="22" t="inlineStr">
        <is>
          <t>Medium</t>
        </is>
      </c>
      <c r="F52" s="9" t="inlineStr">
        <is>
          <t>Linked list</t>
        </is>
      </c>
      <c r="G52" s="9">
        <f>IF(Tracker!G18="✓","Yes","")</f>
        <v/>
      </c>
      <c r="H52" s="9" t="inlineStr"/>
      <c r="I52" s="9" t="n"/>
    </row>
    <row r="53">
      <c r="A53" s="9" t="n">
        <v>52</v>
      </c>
      <c r="B53" s="9" t="n">
        <v>18</v>
      </c>
      <c r="C53" s="19" t="n">
        <v>46310</v>
      </c>
      <c r="D53" s="20" t="inlineStr">
        <is>
          <t>Koko Eating Bananas</t>
        </is>
      </c>
      <c r="E53" s="22" t="inlineStr">
        <is>
          <t>Medium</t>
        </is>
      </c>
      <c r="F53" s="9" t="inlineStr">
        <is>
          <t>Binary search</t>
        </is>
      </c>
      <c r="G53" s="9">
        <f>IF(Tracker!E19="✓","Yes","")</f>
        <v/>
      </c>
      <c r="H53" s="9" t="inlineStr"/>
      <c r="I53" s="9" t="n"/>
    </row>
    <row r="54">
      <c r="A54" s="9" t="n">
        <v>53</v>
      </c>
      <c r="B54" s="9" t="n">
        <v>18</v>
      </c>
      <c r="C54" s="19" t="n">
        <v>46310</v>
      </c>
      <c r="D54" s="20" t="inlineStr">
        <is>
          <t>Find Minimum in Rotated Sorted Array</t>
        </is>
      </c>
      <c r="E54" s="22" t="inlineStr">
        <is>
          <t>Medium</t>
        </is>
      </c>
      <c r="F54" s="9" t="inlineStr">
        <is>
          <t>Binary search</t>
        </is>
      </c>
      <c r="G54" s="9">
        <f>IF(Tracker!F19="✓","Yes","")</f>
        <v/>
      </c>
      <c r="H54" s="9" t="inlineStr"/>
      <c r="I54" s="9" t="n"/>
    </row>
    <row r="55">
      <c r="A55" s="9" t="n">
        <v>54</v>
      </c>
      <c r="B55" s="9" t="n">
        <v>18</v>
      </c>
      <c r="C55" s="19" t="n">
        <v>46310</v>
      </c>
      <c r="D55" s="20" t="inlineStr">
        <is>
          <t>Search in Rotated Sorted Array</t>
        </is>
      </c>
      <c r="E55" s="22" t="inlineStr">
        <is>
          <t>Medium</t>
        </is>
      </c>
      <c r="F55" s="9" t="inlineStr">
        <is>
          <t>Binary search</t>
        </is>
      </c>
      <c r="G55" s="9">
        <f>IF(Tracker!G19="✓","Yes","")</f>
        <v/>
      </c>
      <c r="H55" s="9" t="inlineStr"/>
      <c r="I55" s="9" t="n"/>
    </row>
    <row r="56">
      <c r="A56" s="9" t="n">
        <v>55</v>
      </c>
      <c r="B56" s="9" t="n">
        <v>19</v>
      </c>
      <c r="C56" s="19" t="n">
        <v>46311</v>
      </c>
      <c r="D56" s="20" t="inlineStr">
        <is>
          <t>Time Based Key-Value Store</t>
        </is>
      </c>
      <c r="E56" s="22" t="inlineStr">
        <is>
          <t>Medium</t>
        </is>
      </c>
      <c r="F56" s="9" t="inlineStr">
        <is>
          <t>Binary search</t>
        </is>
      </c>
      <c r="G56" s="9">
        <f>IF(Tracker!E20="✓","Yes","")</f>
        <v/>
      </c>
      <c r="H56" s="9" t="inlineStr"/>
      <c r="I56" s="9" t="n"/>
    </row>
    <row r="57">
      <c r="A57" s="9" t="n">
        <v>56</v>
      </c>
      <c r="B57" s="9" t="n">
        <v>19</v>
      </c>
      <c r="C57" s="19" t="n">
        <v>46311</v>
      </c>
      <c r="D57" s="20" t="inlineStr">
        <is>
          <t>Find First and Last Position of Element in Sorted Array</t>
        </is>
      </c>
      <c r="E57" s="22" t="inlineStr">
        <is>
          <t>Medium</t>
        </is>
      </c>
      <c r="F57" s="9" t="inlineStr">
        <is>
          <t>Binary search</t>
        </is>
      </c>
      <c r="G57" s="9">
        <f>IF(Tracker!F20="✓","Yes","")</f>
        <v/>
      </c>
      <c r="H57" s="9" t="inlineStr"/>
      <c r="I57" s="9" t="n"/>
    </row>
    <row r="58">
      <c r="A58" s="9" t="n">
        <v>57</v>
      </c>
      <c r="B58" s="9" t="n">
        <v>19</v>
      </c>
      <c r="C58" s="19" t="n">
        <v>46311</v>
      </c>
      <c r="D58" s="20" t="inlineStr">
        <is>
          <t>Sqrt(x)</t>
        </is>
      </c>
      <c r="E58" s="21" t="inlineStr">
        <is>
          <t>Easy</t>
        </is>
      </c>
      <c r="F58" s="9" t="inlineStr">
        <is>
          <t>Binary search</t>
        </is>
      </c>
      <c r="G58" s="9">
        <f>IF(Tracker!G20="✓","Yes","")</f>
        <v/>
      </c>
      <c r="H58" s="9" t="inlineStr"/>
      <c r="I58" s="9" t="n"/>
    </row>
    <row r="59">
      <c r="A59" s="9" t="n">
        <v>58</v>
      </c>
      <c r="B59" s="9" t="n">
        <v>20</v>
      </c>
      <c r="C59" s="19" t="n">
        <v>46312</v>
      </c>
      <c r="D59" s="20" t="inlineStr">
        <is>
          <t>Merge k Sorted Lists</t>
        </is>
      </c>
      <c r="E59" s="23" t="inlineStr">
        <is>
          <t>Hard</t>
        </is>
      </c>
      <c r="F59" s="9" t="inlineStr">
        <is>
          <t>Linked list</t>
        </is>
      </c>
      <c r="G59" s="9">
        <f>IF(Tracker!E21="✓","Yes","")</f>
        <v/>
      </c>
      <c r="H59" s="9" t="inlineStr"/>
      <c r="I59" s="9" t="n"/>
    </row>
    <row r="60">
      <c r="A60" s="9" t="n">
        <v>59</v>
      </c>
      <c r="B60" s="9" t="n">
        <v>20</v>
      </c>
      <c r="C60" s="19" t="n">
        <v>46312</v>
      </c>
      <c r="D60" s="20" t="inlineStr">
        <is>
          <t>Intersection of Two Linked Lists</t>
        </is>
      </c>
      <c r="E60" s="21" t="inlineStr">
        <is>
          <t>Easy</t>
        </is>
      </c>
      <c r="F60" s="9" t="inlineStr">
        <is>
          <t>Linked list</t>
        </is>
      </c>
      <c r="G60" s="9">
        <f>IF(Tracker!F21="✓","Yes","")</f>
        <v/>
      </c>
      <c r="H60" s="9" t="inlineStr"/>
      <c r="I60" s="9" t="n"/>
    </row>
    <row r="61">
      <c r="A61" s="9" t="n">
        <v>60</v>
      </c>
      <c r="B61" s="9" t="n">
        <v>20</v>
      </c>
      <c r="C61" s="19" t="n">
        <v>46312</v>
      </c>
      <c r="D61" s="20" t="inlineStr">
        <is>
          <t>Palindrome Linked List</t>
        </is>
      </c>
      <c r="E61" s="21" t="inlineStr">
        <is>
          <t>Easy</t>
        </is>
      </c>
      <c r="F61" s="9" t="inlineStr">
        <is>
          <t>Linked list</t>
        </is>
      </c>
      <c r="G61" s="9">
        <f>IF(Tracker!G21="✓","Yes","")</f>
        <v/>
      </c>
      <c r="H61" s="9" t="inlineStr"/>
      <c r="I61" s="9" t="n"/>
    </row>
    <row r="62">
      <c r="A62" s="9" t="n">
        <v>61</v>
      </c>
      <c r="B62" s="9" t="n">
        <v>21</v>
      </c>
      <c r="C62" s="19" t="n">
        <v>46313</v>
      </c>
      <c r="D62" s="20" t="inlineStr">
        <is>
          <t>Middle of the Linked List</t>
        </is>
      </c>
      <c r="E62" s="21" t="inlineStr">
        <is>
          <t>Easy</t>
        </is>
      </c>
      <c r="F62" s="9" t="inlineStr">
        <is>
          <t>Linked list</t>
        </is>
      </c>
      <c r="G62" s="9">
        <f>IF(Tracker!E22="✓","Yes","")</f>
        <v/>
      </c>
      <c r="H62" s="9" t="inlineStr"/>
      <c r="I62" s="9" t="n"/>
    </row>
    <row r="63">
      <c r="A63" s="9" t="n">
        <v>62</v>
      </c>
      <c r="B63" s="9" t="n">
        <v>21</v>
      </c>
      <c r="C63" s="19" t="n">
        <v>46313</v>
      </c>
      <c r="D63" s="20" t="inlineStr">
        <is>
          <t>Remove Linked List Elements</t>
        </is>
      </c>
      <c r="E63" s="21" t="inlineStr">
        <is>
          <t>Easy</t>
        </is>
      </c>
      <c r="F63" s="9" t="inlineStr">
        <is>
          <t>Linked list</t>
        </is>
      </c>
      <c r="G63" s="9">
        <f>IF(Tracker!F22="✓","Yes","")</f>
        <v/>
      </c>
      <c r="H63" s="9" t="inlineStr"/>
      <c r="I63" s="9" t="n"/>
    </row>
    <row r="64">
      <c r="A64" s="9" t="n">
        <v>63</v>
      </c>
      <c r="B64" s="9" t="n">
        <v>21</v>
      </c>
      <c r="C64" s="19" t="n">
        <v>46313</v>
      </c>
      <c r="D64" s="20" t="inlineStr">
        <is>
          <t>Reverse Linked List II</t>
        </is>
      </c>
      <c r="E64" s="22" t="inlineStr">
        <is>
          <t>Medium</t>
        </is>
      </c>
      <c r="F64" s="9" t="inlineStr">
        <is>
          <t>Linked list</t>
        </is>
      </c>
      <c r="G64" s="9">
        <f>IF(Tracker!G22="✓","Yes","")</f>
        <v/>
      </c>
      <c r="H64" s="9" t="inlineStr"/>
      <c r="I64" s="9" t="n"/>
    </row>
    <row r="65">
      <c r="A65" s="9" t="n">
        <v>64</v>
      </c>
      <c r="B65" s="9" t="n">
        <v>22</v>
      </c>
      <c r="C65" s="19" t="n">
        <v>46314</v>
      </c>
      <c r="D65" s="20" t="inlineStr">
        <is>
          <t>Subarray Sum Equals K</t>
        </is>
      </c>
      <c r="E65" s="22" t="inlineStr">
        <is>
          <t>Medium</t>
        </is>
      </c>
      <c r="F65" s="9" t="inlineStr">
        <is>
          <t>Prefix sum</t>
        </is>
      </c>
      <c r="G65" s="9">
        <f>IF(Tracker!E23="✓","Yes","")</f>
        <v/>
      </c>
      <c r="H65" s="9" t="inlineStr"/>
      <c r="I65" s="9" t="n"/>
    </row>
    <row r="66">
      <c r="A66" s="9" t="n">
        <v>65</v>
      </c>
      <c r="B66" s="9" t="n">
        <v>22</v>
      </c>
      <c r="C66" s="19" t="n">
        <v>46314</v>
      </c>
      <c r="D66" s="20" t="inlineStr">
        <is>
          <t>Range Sum Query - Immutable</t>
        </is>
      </c>
      <c r="E66" s="21" t="inlineStr">
        <is>
          <t>Easy</t>
        </is>
      </c>
      <c r="F66" s="9" t="inlineStr">
        <is>
          <t>Prefix sum</t>
        </is>
      </c>
      <c r="G66" s="9">
        <f>IF(Tracker!F23="✓","Yes","")</f>
        <v/>
      </c>
      <c r="H66" s="9" t="inlineStr"/>
      <c r="I66" s="9" t="n"/>
    </row>
    <row r="67">
      <c r="A67" s="9" t="n">
        <v>66</v>
      </c>
      <c r="B67" s="9" t="n">
        <v>22</v>
      </c>
      <c r="C67" s="19" t="n">
        <v>46314</v>
      </c>
      <c r="D67" s="20" t="inlineStr">
        <is>
          <t>Find Pivot Index</t>
        </is>
      </c>
      <c r="E67" s="21" t="inlineStr">
        <is>
          <t>Easy</t>
        </is>
      </c>
      <c r="F67" s="9" t="inlineStr">
        <is>
          <t>Prefix sum</t>
        </is>
      </c>
      <c r="G67" s="9">
        <f>IF(Tracker!G23="✓","Yes","")</f>
        <v/>
      </c>
      <c r="H67" s="9" t="inlineStr"/>
      <c r="I67" s="9" t="n"/>
    </row>
    <row r="68">
      <c r="A68" s="9" t="n">
        <v>67</v>
      </c>
      <c r="B68" s="9" t="n">
        <v>23</v>
      </c>
      <c r="C68" s="19" t="n">
        <v>46315</v>
      </c>
      <c r="D68" s="20" t="inlineStr">
        <is>
          <t>Contiguous Array</t>
        </is>
      </c>
      <c r="E68" s="22" t="inlineStr">
        <is>
          <t>Medium</t>
        </is>
      </c>
      <c r="F68" s="9" t="inlineStr">
        <is>
          <t>Prefix sum</t>
        </is>
      </c>
      <c r="G68" s="9">
        <f>IF(Tracker!E24="✓","Yes","")</f>
        <v/>
      </c>
      <c r="H68" s="9" t="inlineStr"/>
      <c r="I68" s="9" t="n"/>
    </row>
    <row r="69">
      <c r="A69" s="9" t="n">
        <v>68</v>
      </c>
      <c r="B69" s="9" t="n">
        <v>23</v>
      </c>
      <c r="C69" s="19" t="n">
        <v>46315</v>
      </c>
      <c r="D69" s="20" t="inlineStr">
        <is>
          <t>Subarray Sums Divisible by K</t>
        </is>
      </c>
      <c r="E69" s="22" t="inlineStr">
        <is>
          <t>Medium</t>
        </is>
      </c>
      <c r="F69" s="9" t="inlineStr">
        <is>
          <t>Prefix sum</t>
        </is>
      </c>
      <c r="G69" s="9">
        <f>IF(Tracker!F24="✓","Yes","")</f>
        <v/>
      </c>
      <c r="H69" s="9" t="inlineStr"/>
      <c r="I69" s="9" t="n"/>
    </row>
    <row r="70">
      <c r="A70" s="9" t="n">
        <v>69</v>
      </c>
      <c r="B70" s="9" t="n">
        <v>23</v>
      </c>
      <c r="C70" s="19" t="n">
        <v>46315</v>
      </c>
      <c r="D70" s="20" t="inlineStr">
        <is>
          <t>Find All Anagrams in a String</t>
        </is>
      </c>
      <c r="E70" s="22" t="inlineStr">
        <is>
          <t>Medium</t>
        </is>
      </c>
      <c r="F70" s="9" t="inlineStr">
        <is>
          <t>Prefix sum</t>
        </is>
      </c>
      <c r="G70" s="9">
        <f>IF(Tracker!G24="✓","Yes","")</f>
        <v/>
      </c>
      <c r="H70" s="9" t="inlineStr"/>
      <c r="I70" s="9" t="n"/>
    </row>
    <row r="71">
      <c r="A71" s="9" t="n">
        <v>70</v>
      </c>
      <c r="B71" s="9" t="n">
        <v>24</v>
      </c>
      <c r="C71" s="19" t="n">
        <v>46316</v>
      </c>
      <c r="D71" s="20" t="inlineStr">
        <is>
          <t>Find Peak Element</t>
        </is>
      </c>
      <c r="E71" s="22" t="inlineStr">
        <is>
          <t>Medium</t>
        </is>
      </c>
      <c r="F71" s="9" t="inlineStr">
        <is>
          <t>Binary search</t>
        </is>
      </c>
      <c r="G71" s="9">
        <f>IF(Tracker!E25="✓","Yes","")</f>
        <v/>
      </c>
      <c r="H71" s="9" t="inlineStr"/>
      <c r="I71" s="9" t="n"/>
    </row>
    <row r="72">
      <c r="A72" s="9" t="n">
        <v>71</v>
      </c>
      <c r="B72" s="9" t="n">
        <v>24</v>
      </c>
      <c r="C72" s="19" t="n">
        <v>46316</v>
      </c>
      <c r="D72" s="20" t="inlineStr">
        <is>
          <t>Single Element in a Sorted Array</t>
        </is>
      </c>
      <c r="E72" s="22" t="inlineStr">
        <is>
          <t>Medium</t>
        </is>
      </c>
      <c r="F72" s="9" t="inlineStr">
        <is>
          <t>Binary search</t>
        </is>
      </c>
      <c r="G72" s="9">
        <f>IF(Tracker!F25="✓","Yes","")</f>
        <v/>
      </c>
      <c r="H72" s="9" t="inlineStr"/>
      <c r="I72" s="9" t="n"/>
    </row>
    <row r="73">
      <c r="A73" s="9" t="n">
        <v>72</v>
      </c>
      <c r="B73" s="9" t="n">
        <v>24</v>
      </c>
      <c r="C73" s="19" t="n">
        <v>46316</v>
      </c>
      <c r="D73" s="20" t="inlineStr">
        <is>
          <t>Capacity To Ship Packages Within D Days</t>
        </is>
      </c>
      <c r="E73" s="22" t="inlineStr">
        <is>
          <t>Medium</t>
        </is>
      </c>
      <c r="F73" s="9" t="inlineStr">
        <is>
          <t>Binary search</t>
        </is>
      </c>
      <c r="G73" s="9">
        <f>IF(Tracker!G25="✓","Yes","")</f>
        <v/>
      </c>
      <c r="H73" s="9" t="inlineStr"/>
      <c r="I73" s="9" t="n"/>
    </row>
    <row r="74">
      <c r="A74" s="9" t="n">
        <v>73</v>
      </c>
      <c r="B74" s="9" t="n">
        <v>25</v>
      </c>
      <c r="C74" s="19" t="n">
        <v>46317</v>
      </c>
      <c r="D74" s="20" t="inlineStr">
        <is>
          <t>Sort Colors</t>
        </is>
      </c>
      <c r="E74" s="22" t="inlineStr">
        <is>
          <t>Medium</t>
        </is>
      </c>
      <c r="F74" s="9" t="inlineStr">
        <is>
          <t>Arrays &amp; matrix</t>
        </is>
      </c>
      <c r="G74" s="9">
        <f>IF(Tracker!E26="✓","Yes","")</f>
        <v/>
      </c>
      <c r="H74" s="9" t="inlineStr"/>
      <c r="I74" s="9" t="n"/>
    </row>
    <row r="75">
      <c r="A75" s="9" t="n">
        <v>74</v>
      </c>
      <c r="B75" s="9" t="n">
        <v>25</v>
      </c>
      <c r="C75" s="19" t="n">
        <v>46317</v>
      </c>
      <c r="D75" s="20" t="inlineStr">
        <is>
          <t>Rotate Array</t>
        </is>
      </c>
      <c r="E75" s="22" t="inlineStr">
        <is>
          <t>Medium</t>
        </is>
      </c>
      <c r="F75" s="9" t="inlineStr">
        <is>
          <t>Arrays &amp; matrix</t>
        </is>
      </c>
      <c r="G75" s="9">
        <f>IF(Tracker!F26="✓","Yes","")</f>
        <v/>
      </c>
      <c r="H75" s="9" t="inlineStr"/>
      <c r="I75" s="9" t="n"/>
    </row>
    <row r="76">
      <c r="A76" s="9" t="n">
        <v>75</v>
      </c>
      <c r="B76" s="9" t="n">
        <v>25</v>
      </c>
      <c r="C76" s="19" t="n">
        <v>46317</v>
      </c>
      <c r="D76" s="20" t="inlineStr">
        <is>
          <t>Rotate Image</t>
        </is>
      </c>
      <c r="E76" s="22" t="inlineStr">
        <is>
          <t>Medium</t>
        </is>
      </c>
      <c r="F76" s="9" t="inlineStr">
        <is>
          <t>Arrays &amp; matrix</t>
        </is>
      </c>
      <c r="G76" s="9">
        <f>IF(Tracker!G26="✓","Yes","")</f>
        <v/>
      </c>
      <c r="H76" s="9" t="inlineStr"/>
      <c r="I76" s="9" t="n"/>
    </row>
    <row r="77">
      <c r="A77" s="9" t="n">
        <v>76</v>
      </c>
      <c r="B77" s="9" t="n">
        <v>26</v>
      </c>
      <c r="C77" s="19" t="n">
        <v>46318</v>
      </c>
      <c r="D77" s="20" t="inlineStr">
        <is>
          <t>Invert Binary Tree</t>
        </is>
      </c>
      <c r="E77" s="21" t="inlineStr">
        <is>
          <t>Easy</t>
        </is>
      </c>
      <c r="F77" s="9" t="inlineStr">
        <is>
          <t>Trees</t>
        </is>
      </c>
      <c r="G77" s="9">
        <f>IF(Tracker!E27="✓","Yes","")</f>
        <v/>
      </c>
      <c r="H77" s="9" t="inlineStr"/>
      <c r="I77" s="9" t="n"/>
    </row>
    <row r="78">
      <c r="A78" s="9" t="n">
        <v>77</v>
      </c>
      <c r="B78" s="9" t="n">
        <v>26</v>
      </c>
      <c r="C78" s="19" t="n">
        <v>46318</v>
      </c>
      <c r="D78" s="20" t="inlineStr">
        <is>
          <t>Maximum Depth of Binary Tree</t>
        </is>
      </c>
      <c r="E78" s="21" t="inlineStr">
        <is>
          <t>Easy</t>
        </is>
      </c>
      <c r="F78" s="9" t="inlineStr">
        <is>
          <t>Trees</t>
        </is>
      </c>
      <c r="G78" s="9">
        <f>IF(Tracker!F27="✓","Yes","")</f>
        <v/>
      </c>
      <c r="H78" s="9" t="inlineStr"/>
      <c r="I78" s="9" t="n"/>
    </row>
    <row r="79">
      <c r="A79" s="9" t="n">
        <v>78</v>
      </c>
      <c r="B79" s="9" t="n">
        <v>26</v>
      </c>
      <c r="C79" s="19" t="n">
        <v>46318</v>
      </c>
      <c r="D79" s="20" t="inlineStr">
        <is>
          <t>Same Tree</t>
        </is>
      </c>
      <c r="E79" s="21" t="inlineStr">
        <is>
          <t>Easy</t>
        </is>
      </c>
      <c r="F79" s="9" t="inlineStr">
        <is>
          <t>Trees</t>
        </is>
      </c>
      <c r="G79" s="9">
        <f>IF(Tracker!G27="✓","Yes","")</f>
        <v/>
      </c>
      <c r="H79" s="9" t="inlineStr"/>
      <c r="I79" s="9" t="n"/>
    </row>
    <row r="80">
      <c r="A80" s="9" t="n">
        <v>79</v>
      </c>
      <c r="B80" s="9" t="n">
        <v>27</v>
      </c>
      <c r="C80" s="19" t="n">
        <v>46319</v>
      </c>
      <c r="D80" s="20" t="inlineStr">
        <is>
          <t>Diameter of Binary Tree</t>
        </is>
      </c>
      <c r="E80" s="21" t="inlineStr">
        <is>
          <t>Easy</t>
        </is>
      </c>
      <c r="F80" s="9" t="inlineStr">
        <is>
          <t>Trees</t>
        </is>
      </c>
      <c r="G80" s="9">
        <f>IF(Tracker!E28="✓","Yes","")</f>
        <v/>
      </c>
      <c r="H80" s="9" t="inlineStr"/>
      <c r="I80" s="9" t="n"/>
    </row>
    <row r="81">
      <c r="A81" s="9" t="n">
        <v>80</v>
      </c>
      <c r="B81" s="9" t="n">
        <v>27</v>
      </c>
      <c r="C81" s="19" t="n">
        <v>46319</v>
      </c>
      <c r="D81" s="20" t="inlineStr">
        <is>
          <t>Balanced Binary Tree</t>
        </is>
      </c>
      <c r="E81" s="21" t="inlineStr">
        <is>
          <t>Easy</t>
        </is>
      </c>
      <c r="F81" s="9" t="inlineStr">
        <is>
          <t>Trees</t>
        </is>
      </c>
      <c r="G81" s="9">
        <f>IF(Tracker!F28="✓","Yes","")</f>
        <v/>
      </c>
      <c r="H81" s="9" t="inlineStr"/>
      <c r="I81" s="9" t="n"/>
    </row>
    <row r="82">
      <c r="A82" s="9" t="n">
        <v>81</v>
      </c>
      <c r="B82" s="9" t="n">
        <v>27</v>
      </c>
      <c r="C82" s="19" t="n">
        <v>46319</v>
      </c>
      <c r="D82" s="20" t="inlineStr">
        <is>
          <t>Subtree of Another Tree</t>
        </is>
      </c>
      <c r="E82" s="21" t="inlineStr">
        <is>
          <t>Easy</t>
        </is>
      </c>
      <c r="F82" s="9" t="inlineStr">
        <is>
          <t>Trees</t>
        </is>
      </c>
      <c r="G82" s="9">
        <f>IF(Tracker!G28="✓","Yes","")</f>
        <v/>
      </c>
      <c r="H82" s="9" t="inlineStr"/>
      <c r="I82" s="9" t="n"/>
    </row>
    <row r="83">
      <c r="A83" s="9" t="n">
        <v>82</v>
      </c>
      <c r="B83" s="9" t="n">
        <v>28</v>
      </c>
      <c r="C83" s="19" t="n">
        <v>46320</v>
      </c>
      <c r="D83" s="20" t="inlineStr">
        <is>
          <t>Symmetric Tree</t>
        </is>
      </c>
      <c r="E83" s="21" t="inlineStr">
        <is>
          <t>Easy</t>
        </is>
      </c>
      <c r="F83" s="9" t="inlineStr">
        <is>
          <t>Trees</t>
        </is>
      </c>
      <c r="G83" s="9">
        <f>IF(Tracker!E29="✓","Yes","")</f>
        <v/>
      </c>
      <c r="H83" s="9" t="inlineStr"/>
      <c r="I83" s="9" t="n"/>
    </row>
    <row r="84">
      <c r="A84" s="9" t="n">
        <v>83</v>
      </c>
      <c r="B84" s="9" t="n">
        <v>28</v>
      </c>
      <c r="C84" s="19" t="n">
        <v>46320</v>
      </c>
      <c r="D84" s="20" t="inlineStr">
        <is>
          <t>Path Sum</t>
        </is>
      </c>
      <c r="E84" s="21" t="inlineStr">
        <is>
          <t>Easy</t>
        </is>
      </c>
      <c r="F84" s="9" t="inlineStr">
        <is>
          <t>Trees</t>
        </is>
      </c>
      <c r="G84" s="9">
        <f>IF(Tracker!F29="✓","Yes","")</f>
        <v/>
      </c>
      <c r="H84" s="9" t="inlineStr"/>
      <c r="I84" s="9" t="n"/>
    </row>
    <row r="85">
      <c r="A85" s="9" t="n">
        <v>84</v>
      </c>
      <c r="B85" s="9" t="n">
        <v>28</v>
      </c>
      <c r="C85" s="19" t="n">
        <v>46320</v>
      </c>
      <c r="D85" s="20" t="inlineStr">
        <is>
          <t>Binary Tree Paths</t>
        </is>
      </c>
      <c r="E85" s="21" t="inlineStr">
        <is>
          <t>Easy</t>
        </is>
      </c>
      <c r="F85" s="9" t="inlineStr">
        <is>
          <t>Trees</t>
        </is>
      </c>
      <c r="G85" s="9">
        <f>IF(Tracker!G29="✓","Yes","")</f>
        <v/>
      </c>
      <c r="H85" s="9" t="inlineStr"/>
      <c r="I85" s="9" t="n"/>
    </row>
    <row r="86">
      <c r="A86" s="9" t="n">
        <v>85</v>
      </c>
      <c r="B86" s="9" t="n">
        <v>29</v>
      </c>
      <c r="C86" s="19" t="n">
        <v>46321</v>
      </c>
      <c r="D86" s="20" t="inlineStr">
        <is>
          <t>Binary Tree Level Order Traversal</t>
        </is>
      </c>
      <c r="E86" s="22" t="inlineStr">
        <is>
          <t>Medium</t>
        </is>
      </c>
      <c r="F86" s="9" t="inlineStr">
        <is>
          <t>Trees</t>
        </is>
      </c>
      <c r="G86" s="9">
        <f>IF(Tracker!E30="✓","Yes","")</f>
        <v/>
      </c>
      <c r="H86" s="9" t="inlineStr"/>
      <c r="I86" s="9" t="n"/>
    </row>
    <row r="87">
      <c r="A87" s="9" t="n">
        <v>86</v>
      </c>
      <c r="B87" s="9" t="n">
        <v>29</v>
      </c>
      <c r="C87" s="19" t="n">
        <v>46321</v>
      </c>
      <c r="D87" s="20" t="inlineStr">
        <is>
          <t>Binary Tree Right Side View</t>
        </is>
      </c>
      <c r="E87" s="22" t="inlineStr">
        <is>
          <t>Medium</t>
        </is>
      </c>
      <c r="F87" s="9" t="inlineStr">
        <is>
          <t>Trees</t>
        </is>
      </c>
      <c r="G87" s="9">
        <f>IF(Tracker!F30="✓","Yes","")</f>
        <v/>
      </c>
      <c r="H87" s="9" t="inlineStr"/>
      <c r="I87" s="9" t="n"/>
    </row>
    <row r="88">
      <c r="A88" s="9" t="n">
        <v>87</v>
      </c>
      <c r="B88" s="9" t="n">
        <v>29</v>
      </c>
      <c r="C88" s="19" t="n">
        <v>46321</v>
      </c>
      <c r="D88" s="20" t="inlineStr">
        <is>
          <t>Average of Levels in Binary Tree</t>
        </is>
      </c>
      <c r="E88" s="21" t="inlineStr">
        <is>
          <t>Easy</t>
        </is>
      </c>
      <c r="F88" s="9" t="inlineStr">
        <is>
          <t>Trees</t>
        </is>
      </c>
      <c r="G88" s="9">
        <f>IF(Tracker!G30="✓","Yes","")</f>
        <v/>
      </c>
      <c r="H88" s="9" t="inlineStr"/>
      <c r="I88" s="9" t="n"/>
    </row>
    <row r="89">
      <c r="A89" s="9" t="n">
        <v>88</v>
      </c>
      <c r="B89" s="9" t="n">
        <v>30</v>
      </c>
      <c r="C89" s="19" t="n">
        <v>46322</v>
      </c>
      <c r="D89" s="20" t="inlineStr">
        <is>
          <t>Lowest Common Ancestor of a Binary Search Tree</t>
        </is>
      </c>
      <c r="E89" s="22" t="inlineStr">
        <is>
          <t>Medium</t>
        </is>
      </c>
      <c r="F89" s="9" t="inlineStr">
        <is>
          <t>Trees</t>
        </is>
      </c>
      <c r="G89" s="9">
        <f>IF(Tracker!E31="✓","Yes","")</f>
        <v/>
      </c>
      <c r="H89" s="9" t="inlineStr"/>
      <c r="I89" s="9" t="n"/>
    </row>
    <row r="90">
      <c r="A90" s="9" t="n">
        <v>89</v>
      </c>
      <c r="B90" s="9" t="n">
        <v>30</v>
      </c>
      <c r="C90" s="19" t="n">
        <v>46322</v>
      </c>
      <c r="D90" s="20" t="inlineStr">
        <is>
          <t>Validate Binary Search Tree</t>
        </is>
      </c>
      <c r="E90" s="22" t="inlineStr">
        <is>
          <t>Medium</t>
        </is>
      </c>
      <c r="F90" s="9" t="inlineStr">
        <is>
          <t>Trees</t>
        </is>
      </c>
      <c r="G90" s="9">
        <f>IF(Tracker!F31="✓","Yes","")</f>
        <v/>
      </c>
      <c r="H90" s="9" t="inlineStr"/>
      <c r="I90" s="9" t="n"/>
    </row>
    <row r="91">
      <c r="A91" s="9" t="n">
        <v>90</v>
      </c>
      <c r="B91" s="9" t="n">
        <v>30</v>
      </c>
      <c r="C91" s="19" t="n">
        <v>46322</v>
      </c>
      <c r="D91" s="20" t="inlineStr">
        <is>
          <t>Kth Smallest Element in a BST</t>
        </is>
      </c>
      <c r="E91" s="22" t="inlineStr">
        <is>
          <t>Medium</t>
        </is>
      </c>
      <c r="F91" s="9" t="inlineStr">
        <is>
          <t>Trees</t>
        </is>
      </c>
      <c r="G91" s="9">
        <f>IF(Tracker!G31="✓","Yes","")</f>
        <v/>
      </c>
      <c r="H91" s="9" t="inlineStr"/>
      <c r="I91" s="9" t="n"/>
    </row>
    <row r="92">
      <c r="A92" s="9" t="n">
        <v>91</v>
      </c>
      <c r="B92" s="9" t="n">
        <v>31</v>
      </c>
      <c r="C92" s="19" t="n">
        <v>46323</v>
      </c>
      <c r="D92" s="20" t="inlineStr">
        <is>
          <t>Construct Binary Tree from Preorder and Inorder Traversal</t>
        </is>
      </c>
      <c r="E92" s="22" t="inlineStr">
        <is>
          <t>Medium</t>
        </is>
      </c>
      <c r="F92" s="9" t="inlineStr">
        <is>
          <t>Trees</t>
        </is>
      </c>
      <c r="G92" s="9">
        <f>IF(Tracker!E32="✓","Yes","")</f>
        <v/>
      </c>
      <c r="H92" s="9" t="inlineStr"/>
      <c r="I92" s="9" t="n"/>
    </row>
    <row r="93">
      <c r="A93" s="9" t="n">
        <v>92</v>
      </c>
      <c r="B93" s="9" t="n">
        <v>31</v>
      </c>
      <c r="C93" s="19" t="n">
        <v>46323</v>
      </c>
      <c r="D93" s="20" t="inlineStr">
        <is>
          <t>Count Good Nodes in Binary Tree</t>
        </is>
      </c>
      <c r="E93" s="22" t="inlineStr">
        <is>
          <t>Medium</t>
        </is>
      </c>
      <c r="F93" s="9" t="inlineStr">
        <is>
          <t>Trees</t>
        </is>
      </c>
      <c r="G93" s="9">
        <f>IF(Tracker!F32="✓","Yes","")</f>
        <v/>
      </c>
      <c r="H93" s="9" t="inlineStr"/>
      <c r="I93" s="9" t="n"/>
    </row>
    <row r="94">
      <c r="A94" s="9" t="n">
        <v>93</v>
      </c>
      <c r="B94" s="9" t="n">
        <v>31</v>
      </c>
      <c r="C94" s="19" t="n">
        <v>46323</v>
      </c>
      <c r="D94" s="20" t="inlineStr">
        <is>
          <t>Lowest Common Ancestor of a Binary Tree</t>
        </is>
      </c>
      <c r="E94" s="22" t="inlineStr">
        <is>
          <t>Medium</t>
        </is>
      </c>
      <c r="F94" s="9" t="inlineStr">
        <is>
          <t>Trees</t>
        </is>
      </c>
      <c r="G94" s="9">
        <f>IF(Tracker!G32="✓","Yes","")</f>
        <v/>
      </c>
      <c r="H94" s="9" t="inlineStr"/>
      <c r="I94" s="9" t="n"/>
    </row>
    <row r="95">
      <c r="A95" s="9" t="n">
        <v>94</v>
      </c>
      <c r="B95" s="9" t="n">
        <v>32</v>
      </c>
      <c r="C95" s="19" t="n">
        <v>46324</v>
      </c>
      <c r="D95" s="20" t="inlineStr">
        <is>
          <t>Serialize and Deserialize Binary Tree</t>
        </is>
      </c>
      <c r="E95" s="23" t="inlineStr">
        <is>
          <t>Hard</t>
        </is>
      </c>
      <c r="F95" s="9" t="inlineStr">
        <is>
          <t>Trees</t>
        </is>
      </c>
      <c r="G95" s="9">
        <f>IF(Tracker!E33="✓","Yes","")</f>
        <v/>
      </c>
      <c r="H95" s="9" t="inlineStr"/>
      <c r="I95" s="9" t="n"/>
    </row>
    <row r="96">
      <c r="A96" s="9" t="n">
        <v>95</v>
      </c>
      <c r="B96" s="9" t="n">
        <v>32</v>
      </c>
      <c r="C96" s="19" t="n">
        <v>46324</v>
      </c>
      <c r="D96" s="20" t="inlineStr">
        <is>
          <t>Delete Node in a BST</t>
        </is>
      </c>
      <c r="E96" s="22" t="inlineStr">
        <is>
          <t>Medium</t>
        </is>
      </c>
      <c r="F96" s="9" t="inlineStr">
        <is>
          <t>Trees</t>
        </is>
      </c>
      <c r="G96" s="9">
        <f>IF(Tracker!F33="✓","Yes","")</f>
        <v/>
      </c>
      <c r="H96" s="9" t="inlineStr"/>
      <c r="I96" s="9" t="n"/>
    </row>
    <row r="97">
      <c r="A97" s="9" t="n">
        <v>96</v>
      </c>
      <c r="B97" s="9" t="n">
        <v>32</v>
      </c>
      <c r="C97" s="19" t="n">
        <v>46324</v>
      </c>
      <c r="D97" s="20" t="inlineStr">
        <is>
          <t>Convert Sorted Array to Binary Search Tree</t>
        </is>
      </c>
      <c r="E97" s="21" t="inlineStr">
        <is>
          <t>Easy</t>
        </is>
      </c>
      <c r="F97" s="9" t="inlineStr">
        <is>
          <t>Trees</t>
        </is>
      </c>
      <c r="G97" s="9">
        <f>IF(Tracker!G33="✓","Yes","")</f>
        <v/>
      </c>
      <c r="H97" s="9" t="inlineStr"/>
      <c r="I97" s="9" t="n"/>
    </row>
    <row r="98">
      <c r="A98" s="9" t="n">
        <v>97</v>
      </c>
      <c r="B98" s="9" t="n">
        <v>33</v>
      </c>
      <c r="C98" s="19" t="n">
        <v>46325</v>
      </c>
      <c r="D98" s="20" t="inlineStr">
        <is>
          <t>Search in a Binary Search Tree</t>
        </is>
      </c>
      <c r="E98" s="21" t="inlineStr">
        <is>
          <t>Easy</t>
        </is>
      </c>
      <c r="F98" s="9" t="inlineStr">
        <is>
          <t>Trees</t>
        </is>
      </c>
      <c r="G98" s="9">
        <f>IF(Tracker!E34="✓","Yes","")</f>
        <v/>
      </c>
      <c r="H98" s="9" t="inlineStr"/>
      <c r="I98" s="9" t="n"/>
    </row>
    <row r="99">
      <c r="A99" s="9" t="n">
        <v>98</v>
      </c>
      <c r="B99" s="9" t="n">
        <v>33</v>
      </c>
      <c r="C99" s="19" t="n">
        <v>46325</v>
      </c>
      <c r="D99" s="20" t="inlineStr">
        <is>
          <t>Insert into a Binary Search Tree</t>
        </is>
      </c>
      <c r="E99" s="22" t="inlineStr">
        <is>
          <t>Medium</t>
        </is>
      </c>
      <c r="F99" s="9" t="inlineStr">
        <is>
          <t>Trees</t>
        </is>
      </c>
      <c r="G99" s="9">
        <f>IF(Tracker!F34="✓","Yes","")</f>
        <v/>
      </c>
      <c r="H99" s="9" t="inlineStr"/>
      <c r="I99" s="9" t="n"/>
    </row>
    <row r="100">
      <c r="A100" s="9" t="n">
        <v>99</v>
      </c>
      <c r="B100" s="9" t="n">
        <v>33</v>
      </c>
      <c r="C100" s="19" t="n">
        <v>46325</v>
      </c>
      <c r="D100" s="20" t="inlineStr">
        <is>
          <t>Range Sum of BST</t>
        </is>
      </c>
      <c r="E100" s="21" t="inlineStr">
        <is>
          <t>Easy</t>
        </is>
      </c>
      <c r="F100" s="9" t="inlineStr">
        <is>
          <t>Trees</t>
        </is>
      </c>
      <c r="G100" s="9">
        <f>IF(Tracker!G34="✓","Yes","")</f>
        <v/>
      </c>
      <c r="H100" s="9" t="inlineStr"/>
      <c r="I100" s="9" t="n"/>
    </row>
    <row r="101">
      <c r="A101" s="9" t="n">
        <v>100</v>
      </c>
      <c r="B101" s="9" t="n">
        <v>34</v>
      </c>
      <c r="C101" s="19" t="n">
        <v>46326</v>
      </c>
      <c r="D101" s="20" t="inlineStr">
        <is>
          <t>Binary Tree Maximum Path Sum</t>
        </is>
      </c>
      <c r="E101" s="23" t="inlineStr">
        <is>
          <t>Hard</t>
        </is>
      </c>
      <c r="F101" s="9" t="inlineStr">
        <is>
          <t>Trees</t>
        </is>
      </c>
      <c r="G101" s="9">
        <f>IF(Tracker!E35="✓","Yes","")</f>
        <v/>
      </c>
      <c r="H101" s="9" t="inlineStr"/>
      <c r="I101" s="9" t="n"/>
    </row>
    <row r="102">
      <c r="A102" s="9" t="n">
        <v>101</v>
      </c>
      <c r="B102" s="9" t="n">
        <v>34</v>
      </c>
      <c r="C102" s="19" t="n">
        <v>46326</v>
      </c>
      <c r="D102" s="20" t="inlineStr">
        <is>
          <t>Flatten Binary Tree to Linked List</t>
        </is>
      </c>
      <c r="E102" s="22" t="inlineStr">
        <is>
          <t>Medium</t>
        </is>
      </c>
      <c r="F102" s="9" t="inlineStr">
        <is>
          <t>Trees</t>
        </is>
      </c>
      <c r="G102" s="9">
        <f>IF(Tracker!F35="✓","Yes","")</f>
        <v/>
      </c>
      <c r="H102" s="9" t="inlineStr"/>
      <c r="I102" s="9" t="n"/>
    </row>
    <row r="103">
      <c r="A103" s="9" t="n">
        <v>102</v>
      </c>
      <c r="B103" s="9" t="n">
        <v>34</v>
      </c>
      <c r="C103" s="19" t="n">
        <v>46326</v>
      </c>
      <c r="D103" s="20" t="inlineStr">
        <is>
          <t>Populating Next Right Pointers in Each Node</t>
        </is>
      </c>
      <c r="E103" s="22" t="inlineStr">
        <is>
          <t>Medium</t>
        </is>
      </c>
      <c r="F103" s="9" t="inlineStr">
        <is>
          <t>Trees</t>
        </is>
      </c>
      <c r="G103" s="9">
        <f>IF(Tracker!G35="✓","Yes","")</f>
        <v/>
      </c>
      <c r="H103" s="9" t="inlineStr"/>
      <c r="I103" s="9" t="n"/>
    </row>
    <row r="104">
      <c r="A104" s="9" t="n">
        <v>103</v>
      </c>
      <c r="B104" s="9" t="n">
        <v>35</v>
      </c>
      <c r="C104" s="19" t="n">
        <v>46327</v>
      </c>
      <c r="D104" s="20" t="inlineStr">
        <is>
          <t>Kth Largest Element in a Stream</t>
        </is>
      </c>
      <c r="E104" s="21" t="inlineStr">
        <is>
          <t>Easy</t>
        </is>
      </c>
      <c r="F104" s="9" t="inlineStr">
        <is>
          <t>Heap / priority queue</t>
        </is>
      </c>
      <c r="G104" s="9">
        <f>IF(Tracker!E36="✓","Yes","")</f>
        <v/>
      </c>
      <c r="H104" s="9" t="inlineStr"/>
      <c r="I104" s="9" t="n"/>
    </row>
    <row r="105">
      <c r="A105" s="9" t="n">
        <v>104</v>
      </c>
      <c r="B105" s="9" t="n">
        <v>35</v>
      </c>
      <c r="C105" s="19" t="n">
        <v>46327</v>
      </c>
      <c r="D105" s="20" t="inlineStr">
        <is>
          <t>Last Stone Weight</t>
        </is>
      </c>
      <c r="E105" s="21" t="inlineStr">
        <is>
          <t>Easy</t>
        </is>
      </c>
      <c r="F105" s="9" t="inlineStr">
        <is>
          <t>Heap / priority queue</t>
        </is>
      </c>
      <c r="G105" s="9">
        <f>IF(Tracker!F36="✓","Yes","")</f>
        <v/>
      </c>
      <c r="H105" s="9" t="inlineStr"/>
      <c r="I105" s="9" t="n"/>
    </row>
    <row r="106">
      <c r="A106" s="9" t="n">
        <v>105</v>
      </c>
      <c r="B106" s="9" t="n">
        <v>35</v>
      </c>
      <c r="C106" s="19" t="n">
        <v>46327</v>
      </c>
      <c r="D106" s="20" t="inlineStr">
        <is>
          <t>Kth Largest Element in an Array</t>
        </is>
      </c>
      <c r="E106" s="22" t="inlineStr">
        <is>
          <t>Medium</t>
        </is>
      </c>
      <c r="F106" s="9" t="inlineStr">
        <is>
          <t>Heap / priority queue</t>
        </is>
      </c>
      <c r="G106" s="9">
        <f>IF(Tracker!G36="✓","Yes","")</f>
        <v/>
      </c>
      <c r="H106" s="9" t="inlineStr"/>
      <c r="I106" s="9" t="n"/>
    </row>
    <row r="107">
      <c r="A107" s="9" t="n">
        <v>106</v>
      </c>
      <c r="B107" s="9" t="n">
        <v>36</v>
      </c>
      <c r="C107" s="19" t="n">
        <v>46328</v>
      </c>
      <c r="D107" s="20" t="inlineStr">
        <is>
          <t>K Closest Points to Origin</t>
        </is>
      </c>
      <c r="E107" s="22" t="inlineStr">
        <is>
          <t>Medium</t>
        </is>
      </c>
      <c r="F107" s="9" t="inlineStr">
        <is>
          <t>Heap / priority queue</t>
        </is>
      </c>
      <c r="G107" s="9">
        <f>IF(Tracker!E37="✓","Yes","")</f>
        <v/>
      </c>
      <c r="H107" s="9" t="inlineStr"/>
      <c r="I107" s="9" t="n"/>
    </row>
    <row r="108">
      <c r="A108" s="9" t="n">
        <v>107</v>
      </c>
      <c r="B108" s="9" t="n">
        <v>36</v>
      </c>
      <c r="C108" s="19" t="n">
        <v>46328</v>
      </c>
      <c r="D108" s="20" t="inlineStr">
        <is>
          <t>Task Scheduler</t>
        </is>
      </c>
      <c r="E108" s="22" t="inlineStr">
        <is>
          <t>Medium</t>
        </is>
      </c>
      <c r="F108" s="9" t="inlineStr">
        <is>
          <t>Heap / priority queue</t>
        </is>
      </c>
      <c r="G108" s="9">
        <f>IF(Tracker!F37="✓","Yes","")</f>
        <v/>
      </c>
      <c r="H108" s="9" t="inlineStr"/>
      <c r="I108" s="9" t="n"/>
    </row>
    <row r="109">
      <c r="A109" s="9" t="n">
        <v>108</v>
      </c>
      <c r="B109" s="9" t="n">
        <v>36</v>
      </c>
      <c r="C109" s="19" t="n">
        <v>46328</v>
      </c>
      <c r="D109" s="20" t="inlineStr">
        <is>
          <t>Design Twitter</t>
        </is>
      </c>
      <c r="E109" s="22" t="inlineStr">
        <is>
          <t>Medium</t>
        </is>
      </c>
      <c r="F109" s="9" t="inlineStr">
        <is>
          <t>Heap / priority queue</t>
        </is>
      </c>
      <c r="G109" s="9">
        <f>IF(Tracker!G37="✓","Yes","")</f>
        <v/>
      </c>
      <c r="H109" s="9" t="inlineStr"/>
      <c r="I109" s="9" t="n"/>
    </row>
    <row r="110">
      <c r="A110" s="9" t="n">
        <v>109</v>
      </c>
      <c r="B110" s="9" t="n">
        <v>37</v>
      </c>
      <c r="C110" s="19" t="n">
        <v>46329</v>
      </c>
      <c r="D110" s="20" t="inlineStr">
        <is>
          <t>Find Median from Data Stream</t>
        </is>
      </c>
      <c r="E110" s="23" t="inlineStr">
        <is>
          <t>Hard</t>
        </is>
      </c>
      <c r="F110" s="9" t="inlineStr">
        <is>
          <t>Heap / priority queue</t>
        </is>
      </c>
      <c r="G110" s="9">
        <f>IF(Tracker!E38="✓","Yes","")</f>
        <v/>
      </c>
      <c r="H110" s="9" t="inlineStr"/>
      <c r="I110" s="9" t="n"/>
    </row>
    <row r="111">
      <c r="A111" s="9" t="n">
        <v>110</v>
      </c>
      <c r="B111" s="9" t="n">
        <v>37</v>
      </c>
      <c r="C111" s="19" t="n">
        <v>46329</v>
      </c>
      <c r="D111" s="20" t="inlineStr">
        <is>
          <t>Reorganize String</t>
        </is>
      </c>
      <c r="E111" s="22" t="inlineStr">
        <is>
          <t>Medium</t>
        </is>
      </c>
      <c r="F111" s="9" t="inlineStr">
        <is>
          <t>Heap / priority queue</t>
        </is>
      </c>
      <c r="G111" s="9">
        <f>IF(Tracker!F38="✓","Yes","")</f>
        <v/>
      </c>
      <c r="H111" s="9" t="inlineStr"/>
      <c r="I111" s="9" t="n"/>
    </row>
    <row r="112">
      <c r="A112" s="9" t="n">
        <v>111</v>
      </c>
      <c r="B112" s="9" t="n">
        <v>37</v>
      </c>
      <c r="C112" s="19" t="n">
        <v>46329</v>
      </c>
      <c r="D112" s="20" t="inlineStr">
        <is>
          <t>Sort Characters By Frequency</t>
        </is>
      </c>
      <c r="E112" s="22" t="inlineStr">
        <is>
          <t>Medium</t>
        </is>
      </c>
      <c r="F112" s="9" t="inlineStr">
        <is>
          <t>Heap / priority queue</t>
        </is>
      </c>
      <c r="G112" s="9">
        <f>IF(Tracker!G38="✓","Yes","")</f>
        <v/>
      </c>
      <c r="H112" s="9" t="inlineStr"/>
      <c r="I112" s="9" t="n"/>
    </row>
    <row r="113">
      <c r="A113" s="9" t="n">
        <v>112</v>
      </c>
      <c r="B113" s="9" t="n">
        <v>38</v>
      </c>
      <c r="C113" s="19" t="n">
        <v>46330</v>
      </c>
      <c r="D113" s="20" t="inlineStr">
        <is>
          <t>Number of Islands</t>
        </is>
      </c>
      <c r="E113" s="22" t="inlineStr">
        <is>
          <t>Medium</t>
        </is>
      </c>
      <c r="F113" s="9" t="inlineStr">
        <is>
          <t>Graphs (BFS / DFS / union-find)</t>
        </is>
      </c>
      <c r="G113" s="9">
        <f>IF(Tracker!E39="✓","Yes","")</f>
        <v/>
      </c>
      <c r="H113" s="9" t="inlineStr"/>
      <c r="I113" s="9" t="n"/>
    </row>
    <row r="114">
      <c r="A114" s="9" t="n">
        <v>113</v>
      </c>
      <c r="B114" s="9" t="n">
        <v>38</v>
      </c>
      <c r="C114" s="19" t="n">
        <v>46330</v>
      </c>
      <c r="D114" s="20" t="inlineStr">
        <is>
          <t>Clone Graph</t>
        </is>
      </c>
      <c r="E114" s="22" t="inlineStr">
        <is>
          <t>Medium</t>
        </is>
      </c>
      <c r="F114" s="9" t="inlineStr">
        <is>
          <t>Graphs (BFS / DFS / union-find)</t>
        </is>
      </c>
      <c r="G114" s="9">
        <f>IF(Tracker!F39="✓","Yes","")</f>
        <v/>
      </c>
      <c r="H114" s="9" t="inlineStr"/>
      <c r="I114" s="9" t="n"/>
    </row>
    <row r="115">
      <c r="A115" s="9" t="n">
        <v>114</v>
      </c>
      <c r="B115" s="9" t="n">
        <v>38</v>
      </c>
      <c r="C115" s="19" t="n">
        <v>46330</v>
      </c>
      <c r="D115" s="20" t="inlineStr">
        <is>
          <t>Max Area of Island</t>
        </is>
      </c>
      <c r="E115" s="22" t="inlineStr">
        <is>
          <t>Medium</t>
        </is>
      </c>
      <c r="F115" s="9" t="inlineStr">
        <is>
          <t>Graphs (BFS / DFS / union-find)</t>
        </is>
      </c>
      <c r="G115" s="9">
        <f>IF(Tracker!G39="✓","Yes","")</f>
        <v/>
      </c>
      <c r="H115" s="9" t="inlineStr"/>
      <c r="I115" s="9" t="n"/>
    </row>
    <row r="116">
      <c r="A116" s="9" t="n">
        <v>115</v>
      </c>
      <c r="B116" s="9" t="n">
        <v>39</v>
      </c>
      <c r="C116" s="19" t="n">
        <v>46331</v>
      </c>
      <c r="D116" s="20" t="inlineStr">
        <is>
          <t>Rotting Oranges</t>
        </is>
      </c>
      <c r="E116" s="22" t="inlineStr">
        <is>
          <t>Medium</t>
        </is>
      </c>
      <c r="F116" s="9" t="inlineStr">
        <is>
          <t>Graphs (BFS / DFS / union-find)</t>
        </is>
      </c>
      <c r="G116" s="9">
        <f>IF(Tracker!E40="✓","Yes","")</f>
        <v/>
      </c>
      <c r="H116" s="9" t="inlineStr"/>
      <c r="I116" s="9" t="n"/>
    </row>
    <row r="117">
      <c r="A117" s="9" t="n">
        <v>116</v>
      </c>
      <c r="B117" s="9" t="n">
        <v>39</v>
      </c>
      <c r="C117" s="19" t="n">
        <v>46331</v>
      </c>
      <c r="D117" s="20" t="inlineStr">
        <is>
          <t>Pacific Atlantic Water Flow</t>
        </is>
      </c>
      <c r="E117" s="22" t="inlineStr">
        <is>
          <t>Medium</t>
        </is>
      </c>
      <c r="F117" s="9" t="inlineStr">
        <is>
          <t>Graphs (BFS / DFS / union-find)</t>
        </is>
      </c>
      <c r="G117" s="9">
        <f>IF(Tracker!F40="✓","Yes","")</f>
        <v/>
      </c>
      <c r="H117" s="9" t="inlineStr"/>
      <c r="I117" s="9" t="n"/>
    </row>
    <row r="118">
      <c r="A118" s="9" t="n">
        <v>117</v>
      </c>
      <c r="B118" s="9" t="n">
        <v>39</v>
      </c>
      <c r="C118" s="19" t="n">
        <v>46331</v>
      </c>
      <c r="D118" s="20" t="inlineStr">
        <is>
          <t>Surrounded Regions</t>
        </is>
      </c>
      <c r="E118" s="22" t="inlineStr">
        <is>
          <t>Medium</t>
        </is>
      </c>
      <c r="F118" s="9" t="inlineStr">
        <is>
          <t>Graphs (BFS / DFS / union-find)</t>
        </is>
      </c>
      <c r="G118" s="9">
        <f>IF(Tracker!G40="✓","Yes","")</f>
        <v/>
      </c>
      <c r="H118" s="9" t="inlineStr"/>
      <c r="I118" s="9" t="n"/>
    </row>
    <row r="119">
      <c r="A119" s="9" t="n">
        <v>118</v>
      </c>
      <c r="B119" s="9" t="n">
        <v>40</v>
      </c>
      <c r="C119" s="19" t="n">
        <v>46332</v>
      </c>
      <c r="D119" s="20" t="inlineStr">
        <is>
          <t>Course Schedule</t>
        </is>
      </c>
      <c r="E119" s="22" t="inlineStr">
        <is>
          <t>Medium</t>
        </is>
      </c>
      <c r="F119" s="9" t="inlineStr">
        <is>
          <t>Graphs (BFS / DFS / union-find)</t>
        </is>
      </c>
      <c r="G119" s="9">
        <f>IF(Tracker!E41="✓","Yes","")</f>
        <v/>
      </c>
      <c r="H119" s="9" t="inlineStr"/>
      <c r="I119" s="9" t="n"/>
    </row>
    <row r="120">
      <c r="A120" s="9" t="n">
        <v>119</v>
      </c>
      <c r="B120" s="9" t="n">
        <v>40</v>
      </c>
      <c r="C120" s="19" t="n">
        <v>46332</v>
      </c>
      <c r="D120" s="20" t="inlineStr">
        <is>
          <t>Course Schedule II</t>
        </is>
      </c>
      <c r="E120" s="22" t="inlineStr">
        <is>
          <t>Medium</t>
        </is>
      </c>
      <c r="F120" s="9" t="inlineStr">
        <is>
          <t>Graphs (BFS / DFS / union-find)</t>
        </is>
      </c>
      <c r="G120" s="9">
        <f>IF(Tracker!F41="✓","Yes","")</f>
        <v/>
      </c>
      <c r="H120" s="9" t="inlineStr"/>
      <c r="I120" s="9" t="n"/>
    </row>
    <row r="121">
      <c r="A121" s="9" t="n">
        <v>120</v>
      </c>
      <c r="B121" s="9" t="n">
        <v>40</v>
      </c>
      <c r="C121" s="19" t="n">
        <v>46332</v>
      </c>
      <c r="D121" s="20" t="inlineStr">
        <is>
          <t>Find the Town Judge</t>
        </is>
      </c>
      <c r="E121" s="21" t="inlineStr">
        <is>
          <t>Easy</t>
        </is>
      </c>
      <c r="F121" s="9" t="inlineStr">
        <is>
          <t>Graphs (BFS / DFS / union-find)</t>
        </is>
      </c>
      <c r="G121" s="9">
        <f>IF(Tracker!G41="✓","Yes","")</f>
        <v/>
      </c>
      <c r="H121" s="9" t="inlineStr"/>
      <c r="I121" s="9" t="n"/>
    </row>
    <row r="122">
      <c r="A122" s="9" t="n">
        <v>121</v>
      </c>
      <c r="B122" s="9" t="n">
        <v>41</v>
      </c>
      <c r="C122" s="19" t="n">
        <v>46333</v>
      </c>
      <c r="D122" s="20" t="inlineStr">
        <is>
          <t>Redundant Connection</t>
        </is>
      </c>
      <c r="E122" s="22" t="inlineStr">
        <is>
          <t>Medium</t>
        </is>
      </c>
      <c r="F122" s="9" t="inlineStr">
        <is>
          <t>Graphs (BFS / DFS / union-find)</t>
        </is>
      </c>
      <c r="G122" s="9">
        <f>IF(Tracker!E42="✓","Yes","")</f>
        <v/>
      </c>
      <c r="H122" s="9" t="inlineStr"/>
      <c r="I122" s="9" t="n"/>
    </row>
    <row r="123">
      <c r="A123" s="9" t="n">
        <v>122</v>
      </c>
      <c r="B123" s="9" t="n">
        <v>41</v>
      </c>
      <c r="C123" s="19" t="n">
        <v>46333</v>
      </c>
      <c r="D123" s="20" t="inlineStr">
        <is>
          <t>Number of Provinces</t>
        </is>
      </c>
      <c r="E123" s="22" t="inlineStr">
        <is>
          <t>Medium</t>
        </is>
      </c>
      <c r="F123" s="9" t="inlineStr">
        <is>
          <t>Graphs (BFS / DFS / union-find)</t>
        </is>
      </c>
      <c r="G123" s="9">
        <f>IF(Tracker!F42="✓","Yes","")</f>
        <v/>
      </c>
      <c r="H123" s="9" t="inlineStr"/>
      <c r="I123" s="9" t="n"/>
    </row>
    <row r="124">
      <c r="A124" s="9" t="n">
        <v>123</v>
      </c>
      <c r="B124" s="9" t="n">
        <v>41</v>
      </c>
      <c r="C124" s="19" t="n">
        <v>46333</v>
      </c>
      <c r="D124" s="20" t="inlineStr">
        <is>
          <t>Find if Path Exists in Graph</t>
        </is>
      </c>
      <c r="E124" s="21" t="inlineStr">
        <is>
          <t>Easy</t>
        </is>
      </c>
      <c r="F124" s="9" t="inlineStr">
        <is>
          <t>Graphs (BFS / DFS / union-find)</t>
        </is>
      </c>
      <c r="G124" s="9">
        <f>IF(Tracker!G42="✓","Yes","")</f>
        <v/>
      </c>
      <c r="H124" s="9" t="inlineStr"/>
      <c r="I124" s="9" t="n"/>
    </row>
    <row r="125">
      <c r="A125" s="9" t="n">
        <v>124</v>
      </c>
      <c r="B125" s="9" t="n">
        <v>42</v>
      </c>
      <c r="C125" s="19" t="n">
        <v>46334</v>
      </c>
      <c r="D125" s="20" t="inlineStr">
        <is>
          <t>Word Ladder</t>
        </is>
      </c>
      <c r="E125" s="23" t="inlineStr">
        <is>
          <t>Hard</t>
        </is>
      </c>
      <c r="F125" s="9" t="inlineStr">
        <is>
          <t>Graphs (BFS / DFS / union-find)</t>
        </is>
      </c>
      <c r="G125" s="9">
        <f>IF(Tracker!E43="✓","Yes","")</f>
        <v/>
      </c>
      <c r="H125" s="9" t="inlineStr"/>
      <c r="I125" s="9" t="n"/>
    </row>
    <row r="126">
      <c r="A126" s="9" t="n">
        <v>125</v>
      </c>
      <c r="B126" s="9" t="n">
        <v>42</v>
      </c>
      <c r="C126" s="19" t="n">
        <v>46334</v>
      </c>
      <c r="D126" s="20" t="inlineStr">
        <is>
          <t>Shortest Path in Binary Matrix</t>
        </is>
      </c>
      <c r="E126" s="22" t="inlineStr">
        <is>
          <t>Medium</t>
        </is>
      </c>
      <c r="F126" s="9" t="inlineStr">
        <is>
          <t>Graphs (BFS / DFS / union-find)</t>
        </is>
      </c>
      <c r="G126" s="9">
        <f>IF(Tracker!F43="✓","Yes","")</f>
        <v/>
      </c>
      <c r="H126" s="9" t="inlineStr"/>
      <c r="I126" s="9" t="n"/>
    </row>
    <row r="127">
      <c r="A127" s="9" t="n">
        <v>126</v>
      </c>
      <c r="B127" s="9" t="n">
        <v>42</v>
      </c>
      <c r="C127" s="19" t="n">
        <v>46334</v>
      </c>
      <c r="D127" s="20" t="inlineStr">
        <is>
          <t>Open the Lock</t>
        </is>
      </c>
      <c r="E127" s="22" t="inlineStr">
        <is>
          <t>Medium</t>
        </is>
      </c>
      <c r="F127" s="9" t="inlineStr">
        <is>
          <t>Graphs (BFS / DFS / union-find)</t>
        </is>
      </c>
      <c r="G127" s="9">
        <f>IF(Tracker!G43="✓","Yes","")</f>
        <v/>
      </c>
      <c r="H127" s="9" t="inlineStr"/>
      <c r="I127" s="9" t="n"/>
    </row>
    <row r="128">
      <c r="A128" s="9" t="n">
        <v>127</v>
      </c>
      <c r="B128" s="9" t="n">
        <v>43</v>
      </c>
      <c r="C128" s="19" t="n">
        <v>46335</v>
      </c>
      <c r="D128" s="20" t="inlineStr">
        <is>
          <t>Implement Trie (Prefix Tree)</t>
        </is>
      </c>
      <c r="E128" s="22" t="inlineStr">
        <is>
          <t>Medium</t>
        </is>
      </c>
      <c r="F128" s="9" t="inlineStr">
        <is>
          <t>Trie</t>
        </is>
      </c>
      <c r="G128" s="9">
        <f>IF(Tracker!E44="✓","Yes","")</f>
        <v/>
      </c>
      <c r="H128" s="9" t="inlineStr"/>
      <c r="I128" s="9" t="n"/>
    </row>
    <row r="129">
      <c r="A129" s="9" t="n">
        <v>128</v>
      </c>
      <c r="B129" s="9" t="n">
        <v>43</v>
      </c>
      <c r="C129" s="19" t="n">
        <v>46335</v>
      </c>
      <c r="D129" s="20" t="inlineStr">
        <is>
          <t>Design Add and Search Words Data Structure</t>
        </is>
      </c>
      <c r="E129" s="22" t="inlineStr">
        <is>
          <t>Medium</t>
        </is>
      </c>
      <c r="F129" s="9" t="inlineStr">
        <is>
          <t>Trie</t>
        </is>
      </c>
      <c r="G129" s="9">
        <f>IF(Tracker!F44="✓","Yes","")</f>
        <v/>
      </c>
      <c r="H129" s="9" t="inlineStr"/>
      <c r="I129" s="9" t="n"/>
    </row>
    <row r="130">
      <c r="A130" s="9" t="n">
        <v>129</v>
      </c>
      <c r="B130" s="9" t="n">
        <v>43</v>
      </c>
      <c r="C130" s="19" t="n">
        <v>46335</v>
      </c>
      <c r="D130" s="20" t="inlineStr">
        <is>
          <t>Longest Common Prefix</t>
        </is>
      </c>
      <c r="E130" s="21" t="inlineStr">
        <is>
          <t>Easy</t>
        </is>
      </c>
      <c r="F130" s="9" t="inlineStr">
        <is>
          <t>Trie</t>
        </is>
      </c>
      <c r="G130" s="9">
        <f>IF(Tracker!G44="✓","Yes","")</f>
        <v/>
      </c>
      <c r="H130" s="9" t="inlineStr"/>
      <c r="I130" s="9" t="n"/>
    </row>
    <row r="131">
      <c r="A131" s="9" t="n">
        <v>130</v>
      </c>
      <c r="B131" s="9" t="n">
        <v>44</v>
      </c>
      <c r="C131" s="19" t="n">
        <v>46336</v>
      </c>
      <c r="D131" s="20" t="inlineStr">
        <is>
          <t>Word Search II</t>
        </is>
      </c>
      <c r="E131" s="23" t="inlineStr">
        <is>
          <t>Hard</t>
        </is>
      </c>
      <c r="F131" s="9" t="inlineStr">
        <is>
          <t>Trie</t>
        </is>
      </c>
      <c r="G131" s="9">
        <f>IF(Tracker!E45="✓","Yes","")</f>
        <v/>
      </c>
      <c r="H131" s="9" t="inlineStr"/>
      <c r="I131" s="9" t="n"/>
    </row>
    <row r="132">
      <c r="A132" s="9" t="n">
        <v>131</v>
      </c>
      <c r="B132" s="9" t="n">
        <v>44</v>
      </c>
      <c r="C132" s="19" t="n">
        <v>46336</v>
      </c>
      <c r="D132" s="20" t="inlineStr">
        <is>
          <t>Word Search</t>
        </is>
      </c>
      <c r="E132" s="22" t="inlineStr">
        <is>
          <t>Medium</t>
        </is>
      </c>
      <c r="F132" s="9" t="inlineStr">
        <is>
          <t>Trie</t>
        </is>
      </c>
      <c r="G132" s="9">
        <f>IF(Tracker!F45="✓","Yes","")</f>
        <v/>
      </c>
      <c r="H132" s="9" t="inlineStr"/>
      <c r="I132" s="9" t="n"/>
    </row>
    <row r="133">
      <c r="A133" s="9" t="n">
        <v>132</v>
      </c>
      <c r="B133" s="9" t="n">
        <v>44</v>
      </c>
      <c r="C133" s="19" t="n">
        <v>46336</v>
      </c>
      <c r="D133" s="20" t="inlineStr">
        <is>
          <t>Search Suggestions System</t>
        </is>
      </c>
      <c r="E133" s="22" t="inlineStr">
        <is>
          <t>Medium</t>
        </is>
      </c>
      <c r="F133" s="9" t="inlineStr">
        <is>
          <t>Trie</t>
        </is>
      </c>
      <c r="G133" s="9">
        <f>IF(Tracker!G45="✓","Yes","")</f>
        <v/>
      </c>
      <c r="H133" s="9" t="inlineStr"/>
      <c r="I133" s="9" t="n"/>
    </row>
    <row r="134">
      <c r="A134" s="9" t="n">
        <v>133</v>
      </c>
      <c r="B134" s="9" t="n">
        <v>45</v>
      </c>
      <c r="C134" s="19" t="n">
        <v>46337</v>
      </c>
      <c r="D134" s="20" t="inlineStr">
        <is>
          <t>Merge Intervals</t>
        </is>
      </c>
      <c r="E134" s="22" t="inlineStr">
        <is>
          <t>Medium</t>
        </is>
      </c>
      <c r="F134" s="9" t="inlineStr">
        <is>
          <t>Intervals</t>
        </is>
      </c>
      <c r="G134" s="9">
        <f>IF(Tracker!E46="✓","Yes","")</f>
        <v/>
      </c>
      <c r="H134" s="9" t="inlineStr"/>
      <c r="I134" s="9" t="n"/>
    </row>
    <row r="135">
      <c r="A135" s="9" t="n">
        <v>134</v>
      </c>
      <c r="B135" s="9" t="n">
        <v>45</v>
      </c>
      <c r="C135" s="19" t="n">
        <v>46337</v>
      </c>
      <c r="D135" s="20" t="inlineStr">
        <is>
          <t>Insert Interval</t>
        </is>
      </c>
      <c r="E135" s="22" t="inlineStr">
        <is>
          <t>Medium</t>
        </is>
      </c>
      <c r="F135" s="9" t="inlineStr">
        <is>
          <t>Intervals</t>
        </is>
      </c>
      <c r="G135" s="9">
        <f>IF(Tracker!F46="✓","Yes","")</f>
        <v/>
      </c>
      <c r="H135" s="9" t="inlineStr"/>
      <c r="I135" s="9" t="n"/>
    </row>
    <row r="136">
      <c r="A136" s="9" t="n">
        <v>135</v>
      </c>
      <c r="B136" s="9" t="n">
        <v>45</v>
      </c>
      <c r="C136" s="19" t="n">
        <v>46337</v>
      </c>
      <c r="D136" s="20" t="inlineStr">
        <is>
          <t>Non-overlapping Intervals</t>
        </is>
      </c>
      <c r="E136" s="22" t="inlineStr">
        <is>
          <t>Medium</t>
        </is>
      </c>
      <c r="F136" s="9" t="inlineStr">
        <is>
          <t>Intervals</t>
        </is>
      </c>
      <c r="G136" s="9">
        <f>IF(Tracker!G46="✓","Yes","")</f>
        <v/>
      </c>
      <c r="H136" s="9" t="inlineStr"/>
      <c r="I136" s="9" t="n"/>
    </row>
    <row r="137">
      <c r="A137" s="9" t="n">
        <v>136</v>
      </c>
      <c r="B137" s="9" t="n">
        <v>46</v>
      </c>
      <c r="C137" s="19" t="n">
        <v>46338</v>
      </c>
      <c r="D137" s="20" t="inlineStr">
        <is>
          <t>Minimum Number of Arrows to Burst Balloons</t>
        </is>
      </c>
      <c r="E137" s="22" t="inlineStr">
        <is>
          <t>Medium</t>
        </is>
      </c>
      <c r="F137" s="9" t="inlineStr">
        <is>
          <t>Intervals</t>
        </is>
      </c>
      <c r="G137" s="9">
        <f>IF(Tracker!E47="✓","Yes","")</f>
        <v/>
      </c>
      <c r="H137" s="9" t="inlineStr"/>
      <c r="I137" s="9" t="n"/>
    </row>
    <row r="138">
      <c r="A138" s="9" t="n">
        <v>137</v>
      </c>
      <c r="B138" s="9" t="n">
        <v>46</v>
      </c>
      <c r="C138" s="19" t="n">
        <v>46338</v>
      </c>
      <c r="D138" s="20" t="inlineStr">
        <is>
          <t>Interval List Intersections</t>
        </is>
      </c>
      <c r="E138" s="22" t="inlineStr">
        <is>
          <t>Medium</t>
        </is>
      </c>
      <c r="F138" s="9" t="inlineStr">
        <is>
          <t>Intervals</t>
        </is>
      </c>
      <c r="G138" s="9">
        <f>IF(Tracker!F47="✓","Yes","")</f>
        <v/>
      </c>
      <c r="H138" s="9" t="inlineStr"/>
      <c r="I138" s="9" t="n"/>
    </row>
    <row r="139">
      <c r="A139" s="9" t="n">
        <v>138</v>
      </c>
      <c r="B139" s="9" t="n">
        <v>46</v>
      </c>
      <c r="C139" s="19" t="n">
        <v>46338</v>
      </c>
      <c r="D139" s="20" t="inlineStr">
        <is>
          <t>My Calendar I</t>
        </is>
      </c>
      <c r="E139" s="22" t="inlineStr">
        <is>
          <t>Medium</t>
        </is>
      </c>
      <c r="F139" s="9" t="inlineStr">
        <is>
          <t>Intervals</t>
        </is>
      </c>
      <c r="G139" s="9">
        <f>IF(Tracker!G47="✓","Yes","")</f>
        <v/>
      </c>
      <c r="H139" s="9" t="inlineStr"/>
      <c r="I139" s="9" t="n"/>
    </row>
    <row r="140">
      <c r="A140" s="9" t="n">
        <v>139</v>
      </c>
      <c r="B140" s="9" t="n">
        <v>47</v>
      </c>
      <c r="C140" s="19" t="n">
        <v>46339</v>
      </c>
      <c r="D140" s="20" t="inlineStr">
        <is>
          <t>Single Number</t>
        </is>
      </c>
      <c r="E140" s="21" t="inlineStr">
        <is>
          <t>Easy</t>
        </is>
      </c>
      <c r="F140" s="9" t="inlineStr">
        <is>
          <t>Bit manipulation</t>
        </is>
      </c>
      <c r="G140" s="9">
        <f>IF(Tracker!E48="✓","Yes","")</f>
        <v/>
      </c>
      <c r="H140" s="9" t="inlineStr"/>
      <c r="I140" s="9" t="n"/>
    </row>
    <row r="141">
      <c r="A141" s="9" t="n">
        <v>140</v>
      </c>
      <c r="B141" s="9" t="n">
        <v>47</v>
      </c>
      <c r="C141" s="19" t="n">
        <v>46339</v>
      </c>
      <c r="D141" s="20" t="inlineStr">
        <is>
          <t>Number of 1 Bits</t>
        </is>
      </c>
      <c r="E141" s="21" t="inlineStr">
        <is>
          <t>Easy</t>
        </is>
      </c>
      <c r="F141" s="9" t="inlineStr">
        <is>
          <t>Bit manipulation</t>
        </is>
      </c>
      <c r="G141" s="9">
        <f>IF(Tracker!F48="✓","Yes","")</f>
        <v/>
      </c>
      <c r="H141" s="9" t="inlineStr"/>
      <c r="I141" s="9" t="n"/>
    </row>
    <row r="142">
      <c r="A142" s="9" t="n">
        <v>141</v>
      </c>
      <c r="B142" s="9" t="n">
        <v>47</v>
      </c>
      <c r="C142" s="19" t="n">
        <v>46339</v>
      </c>
      <c r="D142" s="20" t="inlineStr">
        <is>
          <t>Counting Bits</t>
        </is>
      </c>
      <c r="E142" s="21" t="inlineStr">
        <is>
          <t>Easy</t>
        </is>
      </c>
      <c r="F142" s="9" t="inlineStr">
        <is>
          <t>Bit manipulation</t>
        </is>
      </c>
      <c r="G142" s="9">
        <f>IF(Tracker!G48="✓","Yes","")</f>
        <v/>
      </c>
      <c r="H142" s="9" t="inlineStr"/>
      <c r="I142" s="9" t="n"/>
    </row>
    <row r="143">
      <c r="A143" s="9" t="n">
        <v>142</v>
      </c>
      <c r="B143" s="9" t="n">
        <v>48</v>
      </c>
      <c r="C143" s="19" t="n">
        <v>46340</v>
      </c>
      <c r="D143" s="20" t="inlineStr">
        <is>
          <t>Network Delay Time</t>
        </is>
      </c>
      <c r="E143" s="22" t="inlineStr">
        <is>
          <t>Medium</t>
        </is>
      </c>
      <c r="F143" s="9" t="inlineStr">
        <is>
          <t>Advanced graphs (Dijkstra / MST)</t>
        </is>
      </c>
      <c r="G143" s="9">
        <f>IF(Tracker!E49="✓","Yes","")</f>
        <v/>
      </c>
      <c r="H143" s="9" t="inlineStr"/>
      <c r="I143" s="9" t="n"/>
    </row>
    <row r="144">
      <c r="A144" s="9" t="n">
        <v>143</v>
      </c>
      <c r="B144" s="9" t="n">
        <v>48</v>
      </c>
      <c r="C144" s="19" t="n">
        <v>46340</v>
      </c>
      <c r="D144" s="20" t="inlineStr">
        <is>
          <t>Min Cost to Connect All Points</t>
        </is>
      </c>
      <c r="E144" s="22" t="inlineStr">
        <is>
          <t>Medium</t>
        </is>
      </c>
      <c r="F144" s="9" t="inlineStr">
        <is>
          <t>Advanced graphs (Dijkstra / MST)</t>
        </is>
      </c>
      <c r="G144" s="9">
        <f>IF(Tracker!F49="✓","Yes","")</f>
        <v/>
      </c>
      <c r="H144" s="9" t="inlineStr"/>
      <c r="I144" s="9" t="n"/>
    </row>
    <row r="145">
      <c r="A145" s="9" t="n">
        <v>144</v>
      </c>
      <c r="B145" s="9" t="n">
        <v>48</v>
      </c>
      <c r="C145" s="19" t="n">
        <v>46340</v>
      </c>
      <c r="D145" s="20" t="inlineStr">
        <is>
          <t>Cheapest Flights Within K Stops</t>
        </is>
      </c>
      <c r="E145" s="22" t="inlineStr">
        <is>
          <t>Medium</t>
        </is>
      </c>
      <c r="F145" s="9" t="inlineStr">
        <is>
          <t>Advanced graphs (Dijkstra / MST)</t>
        </is>
      </c>
      <c r="G145" s="9">
        <f>IF(Tracker!G49="✓","Yes","")</f>
        <v/>
      </c>
      <c r="H145" s="9" t="inlineStr"/>
      <c r="I145" s="9" t="n"/>
    </row>
    <row r="146">
      <c r="A146" s="9" t="n">
        <v>145</v>
      </c>
      <c r="B146" s="9" t="n">
        <v>49</v>
      </c>
      <c r="C146" s="19" t="n">
        <v>46341</v>
      </c>
      <c r="D146" s="20" t="inlineStr">
        <is>
          <t>Reverse Bits</t>
        </is>
      </c>
      <c r="E146" s="21" t="inlineStr">
        <is>
          <t>Easy</t>
        </is>
      </c>
      <c r="F146" s="9" t="inlineStr">
        <is>
          <t>Bit manipulation</t>
        </is>
      </c>
      <c r="G146" s="9">
        <f>IF(Tracker!E50="✓","Yes","")</f>
        <v/>
      </c>
      <c r="H146" s="9" t="inlineStr"/>
      <c r="I146" s="9" t="n"/>
    </row>
    <row r="147">
      <c r="A147" s="9" t="n">
        <v>146</v>
      </c>
      <c r="B147" s="9" t="n">
        <v>49</v>
      </c>
      <c r="C147" s="19" t="n">
        <v>46341</v>
      </c>
      <c r="D147" s="20" t="inlineStr">
        <is>
          <t>Missing Number</t>
        </is>
      </c>
      <c r="E147" s="21" t="inlineStr">
        <is>
          <t>Easy</t>
        </is>
      </c>
      <c r="F147" s="9" t="inlineStr">
        <is>
          <t>Bit manipulation</t>
        </is>
      </c>
      <c r="G147" s="9">
        <f>IF(Tracker!F50="✓","Yes","")</f>
        <v/>
      </c>
      <c r="H147" s="9" t="inlineStr"/>
      <c r="I147" s="9" t="n"/>
    </row>
    <row r="148">
      <c r="A148" s="9" t="n">
        <v>147</v>
      </c>
      <c r="B148" s="9" t="n">
        <v>49</v>
      </c>
      <c r="C148" s="19" t="n">
        <v>46341</v>
      </c>
      <c r="D148" s="20" t="inlineStr">
        <is>
          <t>Sum of Two Integers</t>
        </is>
      </c>
      <c r="E148" s="22" t="inlineStr">
        <is>
          <t>Medium</t>
        </is>
      </c>
      <c r="F148" s="9" t="inlineStr">
        <is>
          <t>Bit manipulation</t>
        </is>
      </c>
      <c r="G148" s="9">
        <f>IF(Tracker!G50="✓","Yes","")</f>
        <v/>
      </c>
      <c r="H148" s="9" t="inlineStr"/>
      <c r="I148" s="9" t="n"/>
    </row>
    <row r="149">
      <c r="A149" s="9" t="n">
        <v>148</v>
      </c>
      <c r="B149" s="9" t="n">
        <v>50</v>
      </c>
      <c r="C149" s="19" t="n">
        <v>46342</v>
      </c>
      <c r="D149" s="20" t="inlineStr">
        <is>
          <t>Climbing Stairs</t>
        </is>
      </c>
      <c r="E149" s="21" t="inlineStr">
        <is>
          <t>Easy</t>
        </is>
      </c>
      <c r="F149" s="9" t="inlineStr">
        <is>
          <t>Dynamic programming</t>
        </is>
      </c>
      <c r="G149" s="9">
        <f>IF(Tracker!E51="✓","Yes","")</f>
        <v/>
      </c>
      <c r="H149" s="9" t="inlineStr"/>
      <c r="I149" s="9" t="n"/>
    </row>
    <row r="150">
      <c r="A150" s="9" t="n">
        <v>149</v>
      </c>
      <c r="B150" s="9" t="n">
        <v>50</v>
      </c>
      <c r="C150" s="19" t="n">
        <v>46342</v>
      </c>
      <c r="D150" s="20" t="inlineStr">
        <is>
          <t>Min Cost Climbing Stairs</t>
        </is>
      </c>
      <c r="E150" s="21" t="inlineStr">
        <is>
          <t>Easy</t>
        </is>
      </c>
      <c r="F150" s="9" t="inlineStr">
        <is>
          <t>Dynamic programming</t>
        </is>
      </c>
      <c r="G150" s="9">
        <f>IF(Tracker!F51="✓","Yes","")</f>
        <v/>
      </c>
      <c r="H150" s="9" t="inlineStr"/>
      <c r="I150" s="9" t="n"/>
    </row>
    <row r="151">
      <c r="A151" s="9" t="n">
        <v>150</v>
      </c>
      <c r="B151" s="9" t="n">
        <v>50</v>
      </c>
      <c r="C151" s="19" t="n">
        <v>46342</v>
      </c>
      <c r="D151" s="20" t="inlineStr">
        <is>
          <t>House Robber</t>
        </is>
      </c>
      <c r="E151" s="22" t="inlineStr">
        <is>
          <t>Medium</t>
        </is>
      </c>
      <c r="F151" s="9" t="inlineStr">
        <is>
          <t>Dynamic programming</t>
        </is>
      </c>
      <c r="G151" s="9">
        <f>IF(Tracker!G51="✓","Yes","")</f>
        <v/>
      </c>
      <c r="H151" s="9" t="inlineStr"/>
      <c r="I151" s="9" t="n"/>
    </row>
    <row r="152">
      <c r="A152" s="9" t="n">
        <v>151</v>
      </c>
      <c r="B152" s="9" t="n">
        <v>51</v>
      </c>
      <c r="C152" s="19" t="n">
        <v>46343</v>
      </c>
      <c r="D152" s="20" t="inlineStr">
        <is>
          <t>House Robber II</t>
        </is>
      </c>
      <c r="E152" s="22" t="inlineStr">
        <is>
          <t>Medium</t>
        </is>
      </c>
      <c r="F152" s="9" t="inlineStr">
        <is>
          <t>Dynamic programming</t>
        </is>
      </c>
      <c r="G152" s="9">
        <f>IF(Tracker!E52="✓","Yes","")</f>
        <v/>
      </c>
      <c r="H152" s="9" t="inlineStr"/>
      <c r="I152" s="9" t="n"/>
    </row>
    <row r="153">
      <c r="A153" s="9" t="n">
        <v>152</v>
      </c>
      <c r="B153" s="9" t="n">
        <v>51</v>
      </c>
      <c r="C153" s="19" t="n">
        <v>46343</v>
      </c>
      <c r="D153" s="20" t="inlineStr">
        <is>
          <t>Longest Palindromic Substring</t>
        </is>
      </c>
      <c r="E153" s="22" t="inlineStr">
        <is>
          <t>Medium</t>
        </is>
      </c>
      <c r="F153" s="9" t="inlineStr">
        <is>
          <t>Dynamic programming</t>
        </is>
      </c>
      <c r="G153" s="9">
        <f>IF(Tracker!F52="✓","Yes","")</f>
        <v/>
      </c>
      <c r="H153" s="9" t="inlineStr"/>
      <c r="I153" s="9" t="n"/>
    </row>
    <row r="154">
      <c r="A154" s="9" t="n">
        <v>153</v>
      </c>
      <c r="B154" s="9" t="n">
        <v>51</v>
      </c>
      <c r="C154" s="19" t="n">
        <v>46343</v>
      </c>
      <c r="D154" s="20" t="inlineStr">
        <is>
          <t>Palindromic Substrings</t>
        </is>
      </c>
      <c r="E154" s="22" t="inlineStr">
        <is>
          <t>Medium</t>
        </is>
      </c>
      <c r="F154" s="9" t="inlineStr">
        <is>
          <t>Dynamic programming</t>
        </is>
      </c>
      <c r="G154" s="9">
        <f>IF(Tracker!G52="✓","Yes","")</f>
        <v/>
      </c>
      <c r="H154" s="9" t="inlineStr"/>
      <c r="I154" s="9" t="n"/>
    </row>
    <row r="155">
      <c r="A155" s="9" t="n">
        <v>154</v>
      </c>
      <c r="B155" s="9" t="n">
        <v>52</v>
      </c>
      <c r="C155" s="19" t="n">
        <v>46344</v>
      </c>
      <c r="D155" s="20" t="inlineStr">
        <is>
          <t>Decode Ways</t>
        </is>
      </c>
      <c r="E155" s="22" t="inlineStr">
        <is>
          <t>Medium</t>
        </is>
      </c>
      <c r="F155" s="9" t="inlineStr">
        <is>
          <t>Dynamic programming</t>
        </is>
      </c>
      <c r="G155" s="9">
        <f>IF(Tracker!E53="✓","Yes","")</f>
        <v/>
      </c>
      <c r="H155" s="9" t="inlineStr"/>
      <c r="I155" s="9" t="n"/>
    </row>
    <row r="156">
      <c r="A156" s="9" t="n">
        <v>155</v>
      </c>
      <c r="B156" s="9" t="n">
        <v>52</v>
      </c>
      <c r="C156" s="19" t="n">
        <v>46344</v>
      </c>
      <c r="D156" s="20" t="inlineStr">
        <is>
          <t>Coin Change</t>
        </is>
      </c>
      <c r="E156" s="22" t="inlineStr">
        <is>
          <t>Medium</t>
        </is>
      </c>
      <c r="F156" s="9" t="inlineStr">
        <is>
          <t>Dynamic programming</t>
        </is>
      </c>
      <c r="G156" s="9">
        <f>IF(Tracker!F53="✓","Yes","")</f>
        <v/>
      </c>
      <c r="H156" s="9" t="inlineStr"/>
      <c r="I156" s="9" t="n"/>
    </row>
    <row r="157">
      <c r="A157" s="9" t="n">
        <v>156</v>
      </c>
      <c r="B157" s="9" t="n">
        <v>52</v>
      </c>
      <c r="C157" s="19" t="n">
        <v>46344</v>
      </c>
      <c r="D157" s="20" t="inlineStr">
        <is>
          <t>Maximum Product Subarray</t>
        </is>
      </c>
      <c r="E157" s="22" t="inlineStr">
        <is>
          <t>Medium</t>
        </is>
      </c>
      <c r="F157" s="9" t="inlineStr">
        <is>
          <t>Dynamic programming</t>
        </is>
      </c>
      <c r="G157" s="9">
        <f>IF(Tracker!G53="✓","Yes","")</f>
        <v/>
      </c>
      <c r="H157" s="9" t="inlineStr"/>
      <c r="I157" s="9" t="n"/>
    </row>
    <row r="158">
      <c r="A158" s="9" t="n">
        <v>157</v>
      </c>
      <c r="B158" s="9" t="n">
        <v>53</v>
      </c>
      <c r="C158" s="19" t="n">
        <v>46345</v>
      </c>
      <c r="D158" s="20" t="inlineStr">
        <is>
          <t>Word Break</t>
        </is>
      </c>
      <c r="E158" s="22" t="inlineStr">
        <is>
          <t>Medium</t>
        </is>
      </c>
      <c r="F158" s="9" t="inlineStr">
        <is>
          <t>Dynamic programming</t>
        </is>
      </c>
      <c r="G158" s="9">
        <f>IF(Tracker!E54="✓","Yes","")</f>
        <v/>
      </c>
      <c r="H158" s="9" t="inlineStr"/>
      <c r="I158" s="9" t="n"/>
    </row>
    <row r="159">
      <c r="A159" s="9" t="n">
        <v>158</v>
      </c>
      <c r="B159" s="9" t="n">
        <v>53</v>
      </c>
      <c r="C159" s="19" t="n">
        <v>46345</v>
      </c>
      <c r="D159" s="20" t="inlineStr">
        <is>
          <t>Longest Increasing Subsequence</t>
        </is>
      </c>
      <c r="E159" s="22" t="inlineStr">
        <is>
          <t>Medium</t>
        </is>
      </c>
      <c r="F159" s="9" t="inlineStr">
        <is>
          <t>Dynamic programming</t>
        </is>
      </c>
      <c r="G159" s="9">
        <f>IF(Tracker!F54="✓","Yes","")</f>
        <v/>
      </c>
      <c r="H159" s="9" t="inlineStr"/>
      <c r="I159" s="9" t="n"/>
    </row>
    <row r="160">
      <c r="A160" s="9" t="n">
        <v>159</v>
      </c>
      <c r="B160" s="9" t="n">
        <v>53</v>
      </c>
      <c r="C160" s="19" t="n">
        <v>46345</v>
      </c>
      <c r="D160" s="20" t="inlineStr">
        <is>
          <t>Partition Equal Subset Sum</t>
        </is>
      </c>
      <c r="E160" s="22" t="inlineStr">
        <is>
          <t>Medium</t>
        </is>
      </c>
      <c r="F160" s="9" t="inlineStr">
        <is>
          <t>Dynamic programming</t>
        </is>
      </c>
      <c r="G160" s="9">
        <f>IF(Tracker!G54="✓","Yes","")</f>
        <v/>
      </c>
      <c r="H160" s="9" t="inlineStr"/>
      <c r="I160" s="9" t="n"/>
    </row>
    <row r="161">
      <c r="A161" s="9" t="n">
        <v>160</v>
      </c>
      <c r="B161" s="9" t="n">
        <v>54</v>
      </c>
      <c r="C161" s="19" t="n">
        <v>46346</v>
      </c>
      <c r="D161" s="20" t="inlineStr">
        <is>
          <t>Fibonacci Number</t>
        </is>
      </c>
      <c r="E161" s="21" t="inlineStr">
        <is>
          <t>Easy</t>
        </is>
      </c>
      <c r="F161" s="9" t="inlineStr">
        <is>
          <t>Dynamic programming</t>
        </is>
      </c>
      <c r="G161" s="9">
        <f>IF(Tracker!E55="✓","Yes","")</f>
        <v/>
      </c>
      <c r="H161" s="9" t="inlineStr"/>
      <c r="I161" s="9" t="n"/>
    </row>
    <row r="162">
      <c r="A162" s="9" t="n">
        <v>161</v>
      </c>
      <c r="B162" s="9" t="n">
        <v>54</v>
      </c>
      <c r="C162" s="19" t="n">
        <v>46346</v>
      </c>
      <c r="D162" s="20" t="inlineStr">
        <is>
          <t>N-th Tribonacci Number</t>
        </is>
      </c>
      <c r="E162" s="21" t="inlineStr">
        <is>
          <t>Easy</t>
        </is>
      </c>
      <c r="F162" s="9" t="inlineStr">
        <is>
          <t>Dynamic programming</t>
        </is>
      </c>
      <c r="G162" s="9">
        <f>IF(Tracker!F55="✓","Yes","")</f>
        <v/>
      </c>
      <c r="H162" s="9" t="inlineStr"/>
      <c r="I162" s="9" t="n"/>
    </row>
    <row r="163">
      <c r="A163" s="9" t="n">
        <v>162</v>
      </c>
      <c r="B163" s="9" t="n">
        <v>54</v>
      </c>
      <c r="C163" s="19" t="n">
        <v>46346</v>
      </c>
      <c r="D163" s="20" t="inlineStr">
        <is>
          <t>Pascal's Triangle</t>
        </is>
      </c>
      <c r="E163" s="21" t="inlineStr">
        <is>
          <t>Easy</t>
        </is>
      </c>
      <c r="F163" s="9" t="inlineStr">
        <is>
          <t>Dynamic programming</t>
        </is>
      </c>
      <c r="G163" s="9">
        <f>IF(Tracker!G55="✓","Yes","")</f>
        <v/>
      </c>
      <c r="H163" s="9" t="inlineStr"/>
      <c r="I163" s="9" t="n"/>
    </row>
    <row r="164">
      <c r="A164" s="9" t="n">
        <v>163</v>
      </c>
      <c r="B164" s="9" t="n">
        <v>55</v>
      </c>
      <c r="C164" s="19" t="n">
        <v>46347</v>
      </c>
      <c r="D164" s="20" t="inlineStr">
        <is>
          <t>Unique Paths</t>
        </is>
      </c>
      <c r="E164" s="22" t="inlineStr">
        <is>
          <t>Medium</t>
        </is>
      </c>
      <c r="F164" s="9" t="inlineStr">
        <is>
          <t>Dynamic programming</t>
        </is>
      </c>
      <c r="G164" s="9">
        <f>IF(Tracker!E56="✓","Yes","")</f>
        <v/>
      </c>
      <c r="H164" s="9" t="inlineStr"/>
      <c r="I164" s="9" t="n"/>
    </row>
    <row r="165">
      <c r="A165" s="9" t="n">
        <v>164</v>
      </c>
      <c r="B165" s="9" t="n">
        <v>55</v>
      </c>
      <c r="C165" s="19" t="n">
        <v>46347</v>
      </c>
      <c r="D165" s="20" t="inlineStr">
        <is>
          <t>Longest Common Subsequence</t>
        </is>
      </c>
      <c r="E165" s="22" t="inlineStr">
        <is>
          <t>Medium</t>
        </is>
      </c>
      <c r="F165" s="9" t="inlineStr">
        <is>
          <t>Dynamic programming</t>
        </is>
      </c>
      <c r="G165" s="9">
        <f>IF(Tracker!F56="✓","Yes","")</f>
        <v/>
      </c>
      <c r="H165" s="9" t="inlineStr"/>
      <c r="I165" s="9" t="n"/>
    </row>
    <row r="166">
      <c r="A166" s="9" t="n">
        <v>165</v>
      </c>
      <c r="B166" s="9" t="n">
        <v>55</v>
      </c>
      <c r="C166" s="19" t="n">
        <v>46347</v>
      </c>
      <c r="D166" s="20" t="inlineStr">
        <is>
          <t>Best Time to Buy and Sell Stock with Cooldown</t>
        </is>
      </c>
      <c r="E166" s="22" t="inlineStr">
        <is>
          <t>Medium</t>
        </is>
      </c>
      <c r="F166" s="9" t="inlineStr">
        <is>
          <t>Dynamic programming</t>
        </is>
      </c>
      <c r="G166" s="9">
        <f>IF(Tracker!G56="✓","Yes","")</f>
        <v/>
      </c>
      <c r="H166" s="9" t="inlineStr"/>
      <c r="I166" s="9" t="n"/>
    </row>
    <row r="167">
      <c r="A167" s="9" t="n">
        <v>166</v>
      </c>
      <c r="B167" s="9" t="n">
        <v>56</v>
      </c>
      <c r="C167" s="19" t="n">
        <v>46348</v>
      </c>
      <c r="D167" s="20" t="inlineStr">
        <is>
          <t>Coin Change II</t>
        </is>
      </c>
      <c r="E167" s="22" t="inlineStr">
        <is>
          <t>Medium</t>
        </is>
      </c>
      <c r="F167" s="9" t="inlineStr">
        <is>
          <t>Dynamic programming</t>
        </is>
      </c>
      <c r="G167" s="9">
        <f>IF(Tracker!E57="✓","Yes","")</f>
        <v/>
      </c>
      <c r="H167" s="9" t="inlineStr"/>
      <c r="I167" s="9" t="n"/>
    </row>
    <row r="168">
      <c r="A168" s="9" t="n">
        <v>167</v>
      </c>
      <c r="B168" s="9" t="n">
        <v>56</v>
      </c>
      <c r="C168" s="19" t="n">
        <v>46348</v>
      </c>
      <c r="D168" s="20" t="inlineStr">
        <is>
          <t>Target Sum</t>
        </is>
      </c>
      <c r="E168" s="22" t="inlineStr">
        <is>
          <t>Medium</t>
        </is>
      </c>
      <c r="F168" s="9" t="inlineStr">
        <is>
          <t>Dynamic programming</t>
        </is>
      </c>
      <c r="G168" s="9">
        <f>IF(Tracker!F57="✓","Yes","")</f>
        <v/>
      </c>
      <c r="H168" s="9" t="inlineStr"/>
      <c r="I168" s="9" t="n"/>
    </row>
    <row r="169">
      <c r="A169" s="9" t="n">
        <v>168</v>
      </c>
      <c r="B169" s="9" t="n">
        <v>56</v>
      </c>
      <c r="C169" s="19" t="n">
        <v>46348</v>
      </c>
      <c r="D169" s="20" t="inlineStr">
        <is>
          <t>Interleaving String</t>
        </is>
      </c>
      <c r="E169" s="22" t="inlineStr">
        <is>
          <t>Medium</t>
        </is>
      </c>
      <c r="F169" s="9" t="inlineStr">
        <is>
          <t>Dynamic programming</t>
        </is>
      </c>
      <c r="G169" s="9">
        <f>IF(Tracker!G57="✓","Yes","")</f>
        <v/>
      </c>
      <c r="H169" s="9" t="inlineStr"/>
      <c r="I169" s="9" t="n"/>
    </row>
    <row r="170">
      <c r="A170" s="9" t="n">
        <v>169</v>
      </c>
      <c r="B170" s="9" t="n">
        <v>57</v>
      </c>
      <c r="C170" s="19" t="n">
        <v>46349</v>
      </c>
      <c r="D170" s="20" t="inlineStr">
        <is>
          <t>Edit Distance</t>
        </is>
      </c>
      <c r="E170" s="22" t="inlineStr">
        <is>
          <t>Medium</t>
        </is>
      </c>
      <c r="F170" s="9" t="inlineStr">
        <is>
          <t>Dynamic programming</t>
        </is>
      </c>
      <c r="G170" s="9">
        <f>IF(Tracker!E58="✓","Yes","")</f>
        <v/>
      </c>
      <c r="H170" s="9" t="inlineStr"/>
      <c r="I170" s="9" t="n"/>
    </row>
    <row r="171">
      <c r="A171" s="9" t="n">
        <v>170</v>
      </c>
      <c r="B171" s="9" t="n">
        <v>57</v>
      </c>
      <c r="C171" s="19" t="n">
        <v>46349</v>
      </c>
      <c r="D171" s="20" t="inlineStr">
        <is>
          <t>Minimum Path Sum</t>
        </is>
      </c>
      <c r="E171" s="22" t="inlineStr">
        <is>
          <t>Medium</t>
        </is>
      </c>
      <c r="F171" s="9" t="inlineStr">
        <is>
          <t>Dynamic programming</t>
        </is>
      </c>
      <c r="G171" s="9">
        <f>IF(Tracker!F58="✓","Yes","")</f>
        <v/>
      </c>
      <c r="H171" s="9" t="inlineStr"/>
      <c r="I171" s="9" t="n"/>
    </row>
    <row r="172">
      <c r="A172" s="9" t="n">
        <v>171</v>
      </c>
      <c r="B172" s="9" t="n">
        <v>57</v>
      </c>
      <c r="C172" s="19" t="n">
        <v>46349</v>
      </c>
      <c r="D172" s="20" t="inlineStr">
        <is>
          <t>Maximal Square</t>
        </is>
      </c>
      <c r="E172" s="22" t="inlineStr">
        <is>
          <t>Medium</t>
        </is>
      </c>
      <c r="F172" s="9" t="inlineStr">
        <is>
          <t>Dynamic programming</t>
        </is>
      </c>
      <c r="G172" s="9">
        <f>IF(Tracker!G58="✓","Yes","")</f>
        <v/>
      </c>
      <c r="H172" s="9" t="inlineStr"/>
      <c r="I172" s="9" t="n"/>
    </row>
    <row r="173">
      <c r="A173" s="9" t="n">
        <v>172</v>
      </c>
      <c r="B173" s="9" t="n">
        <v>58</v>
      </c>
      <c r="C173" s="19" t="n">
        <v>46350</v>
      </c>
      <c r="D173" s="20" t="inlineStr">
        <is>
          <t>Subsets</t>
        </is>
      </c>
      <c r="E173" s="22" t="inlineStr">
        <is>
          <t>Medium</t>
        </is>
      </c>
      <c r="F173" s="9" t="inlineStr">
        <is>
          <t>Backtracking</t>
        </is>
      </c>
      <c r="G173" s="9">
        <f>IF(Tracker!E59="✓","Yes","")</f>
        <v/>
      </c>
      <c r="H173" s="9" t="inlineStr"/>
      <c r="I173" s="9" t="n"/>
    </row>
    <row r="174">
      <c r="A174" s="9" t="n">
        <v>173</v>
      </c>
      <c r="B174" s="9" t="n">
        <v>58</v>
      </c>
      <c r="C174" s="19" t="n">
        <v>46350</v>
      </c>
      <c r="D174" s="20" t="inlineStr">
        <is>
          <t>Combination Sum</t>
        </is>
      </c>
      <c r="E174" s="22" t="inlineStr">
        <is>
          <t>Medium</t>
        </is>
      </c>
      <c r="F174" s="9" t="inlineStr">
        <is>
          <t>Backtracking</t>
        </is>
      </c>
      <c r="G174" s="9">
        <f>IF(Tracker!F59="✓","Yes","")</f>
        <v/>
      </c>
      <c r="H174" s="9" t="inlineStr"/>
      <c r="I174" s="9" t="n"/>
    </row>
    <row r="175">
      <c r="A175" s="9" t="n">
        <v>174</v>
      </c>
      <c r="B175" s="9" t="n">
        <v>58</v>
      </c>
      <c r="C175" s="19" t="n">
        <v>46350</v>
      </c>
      <c r="D175" s="20" t="inlineStr">
        <is>
          <t>Permutations</t>
        </is>
      </c>
      <c r="E175" s="22" t="inlineStr">
        <is>
          <t>Medium</t>
        </is>
      </c>
      <c r="F175" s="9" t="inlineStr">
        <is>
          <t>Backtracking</t>
        </is>
      </c>
      <c r="G175" s="9">
        <f>IF(Tracker!G59="✓","Yes","")</f>
        <v/>
      </c>
      <c r="H175" s="9" t="inlineStr"/>
      <c r="I175" s="9" t="n"/>
    </row>
    <row r="176">
      <c r="A176" s="9" t="n">
        <v>175</v>
      </c>
      <c r="B176" s="9" t="n">
        <v>59</v>
      </c>
      <c r="C176" s="19" t="n">
        <v>46351</v>
      </c>
      <c r="D176" s="20" t="inlineStr">
        <is>
          <t>Subsets II</t>
        </is>
      </c>
      <c r="E176" s="22" t="inlineStr">
        <is>
          <t>Medium</t>
        </is>
      </c>
      <c r="F176" s="9" t="inlineStr">
        <is>
          <t>Backtracking</t>
        </is>
      </c>
      <c r="G176" s="9">
        <f>IF(Tracker!E60="✓","Yes","")</f>
        <v/>
      </c>
      <c r="H176" s="9" t="inlineStr"/>
      <c r="I176" s="9" t="n"/>
    </row>
    <row r="177">
      <c r="A177" s="9" t="n">
        <v>176</v>
      </c>
      <c r="B177" s="9" t="n">
        <v>59</v>
      </c>
      <c r="C177" s="19" t="n">
        <v>46351</v>
      </c>
      <c r="D177" s="20" t="inlineStr">
        <is>
          <t>Combination Sum II</t>
        </is>
      </c>
      <c r="E177" s="22" t="inlineStr">
        <is>
          <t>Medium</t>
        </is>
      </c>
      <c r="F177" s="9" t="inlineStr">
        <is>
          <t>Backtracking</t>
        </is>
      </c>
      <c r="G177" s="9">
        <f>IF(Tracker!F60="✓","Yes","")</f>
        <v/>
      </c>
      <c r="H177" s="9" t="inlineStr"/>
      <c r="I177" s="9" t="n"/>
    </row>
    <row r="178">
      <c r="A178" s="9" t="n">
        <v>177</v>
      </c>
      <c r="B178" s="9" t="n">
        <v>59</v>
      </c>
      <c r="C178" s="19" t="n">
        <v>46351</v>
      </c>
      <c r="D178" s="20" t="inlineStr">
        <is>
          <t>Palindrome Partitioning</t>
        </is>
      </c>
      <c r="E178" s="22" t="inlineStr">
        <is>
          <t>Medium</t>
        </is>
      </c>
      <c r="F178" s="9" t="inlineStr">
        <is>
          <t>Backtracking</t>
        </is>
      </c>
      <c r="G178" s="9">
        <f>IF(Tracker!G60="✓","Yes","")</f>
        <v/>
      </c>
      <c r="H178" s="9" t="inlineStr"/>
      <c r="I178" s="9" t="n"/>
    </row>
    <row r="179">
      <c r="A179" s="9" t="n">
        <v>178</v>
      </c>
      <c r="B179" s="9" t="n">
        <v>60</v>
      </c>
      <c r="C179" s="19" t="n">
        <v>46352</v>
      </c>
      <c r="D179" s="20" t="inlineStr">
        <is>
          <t>Letter Combinations of a Phone Number</t>
        </is>
      </c>
      <c r="E179" s="22" t="inlineStr">
        <is>
          <t>Medium</t>
        </is>
      </c>
      <c r="F179" s="9" t="inlineStr">
        <is>
          <t>Backtracking</t>
        </is>
      </c>
      <c r="G179" s="9">
        <f>IF(Tracker!E61="✓","Yes","")</f>
        <v/>
      </c>
      <c r="H179" s="9" t="inlineStr"/>
      <c r="I179" s="9" t="n"/>
    </row>
    <row r="180">
      <c r="A180" s="9" t="n">
        <v>179</v>
      </c>
      <c r="B180" s="9" t="n">
        <v>60</v>
      </c>
      <c r="C180" s="19" t="n">
        <v>46352</v>
      </c>
      <c r="D180" s="20" t="inlineStr">
        <is>
          <t>N-Queens</t>
        </is>
      </c>
      <c r="E180" s="23" t="inlineStr">
        <is>
          <t>Hard</t>
        </is>
      </c>
      <c r="F180" s="9" t="inlineStr">
        <is>
          <t>Backtracking</t>
        </is>
      </c>
      <c r="G180" s="9">
        <f>IF(Tracker!F61="✓","Yes","")</f>
        <v/>
      </c>
      <c r="H180" s="9" t="inlineStr"/>
      <c r="I180" s="9" t="n"/>
    </row>
    <row r="181">
      <c r="A181" s="9" t="n">
        <v>180</v>
      </c>
      <c r="B181" s="9" t="n">
        <v>60</v>
      </c>
      <c r="C181" s="19" t="n">
        <v>46352</v>
      </c>
      <c r="D181" s="20" t="inlineStr">
        <is>
          <t>Combinations</t>
        </is>
      </c>
      <c r="E181" s="22" t="inlineStr">
        <is>
          <t>Medium</t>
        </is>
      </c>
      <c r="F181" s="9" t="inlineStr">
        <is>
          <t>Backtracking</t>
        </is>
      </c>
      <c r="G181" s="9">
        <f>IF(Tracker!G61="✓","Yes","")</f>
        <v/>
      </c>
      <c r="H181" s="9" t="inlineStr"/>
      <c r="I181" s="9" t="n"/>
    </row>
    <row r="182">
      <c r="A182" s="9" t="n">
        <v>181</v>
      </c>
      <c r="B182" s="9" t="n">
        <v>61</v>
      </c>
      <c r="C182" s="19" t="n">
        <v>46353</v>
      </c>
      <c r="D182" s="20" t="inlineStr">
        <is>
          <t>Assign Cookies</t>
        </is>
      </c>
      <c r="E182" s="21" t="inlineStr">
        <is>
          <t>Easy</t>
        </is>
      </c>
      <c r="F182" s="9" t="inlineStr">
        <is>
          <t>Greedy</t>
        </is>
      </c>
      <c r="G182" s="9">
        <f>IF(Tracker!E62="✓","Yes","")</f>
        <v/>
      </c>
      <c r="H182" s="9" t="inlineStr"/>
      <c r="I182" s="9" t="n"/>
    </row>
    <row r="183">
      <c r="A183" s="9" t="n">
        <v>182</v>
      </c>
      <c r="B183" s="9" t="n">
        <v>61</v>
      </c>
      <c r="C183" s="19" t="n">
        <v>46353</v>
      </c>
      <c r="D183" s="20" t="inlineStr">
        <is>
          <t>Lemonade Change</t>
        </is>
      </c>
      <c r="E183" s="21" t="inlineStr">
        <is>
          <t>Easy</t>
        </is>
      </c>
      <c r="F183" s="9" t="inlineStr">
        <is>
          <t>Greedy</t>
        </is>
      </c>
      <c r="G183" s="9">
        <f>IF(Tracker!F62="✓","Yes","")</f>
        <v/>
      </c>
      <c r="H183" s="9" t="inlineStr"/>
      <c r="I183" s="9" t="n"/>
    </row>
    <row r="184">
      <c r="A184" s="9" t="n">
        <v>183</v>
      </c>
      <c r="B184" s="9" t="n">
        <v>61</v>
      </c>
      <c r="C184" s="19" t="n">
        <v>46353</v>
      </c>
      <c r="D184" s="20" t="inlineStr">
        <is>
          <t>Best Time to Buy and Sell Stock II</t>
        </is>
      </c>
      <c r="E184" s="22" t="inlineStr">
        <is>
          <t>Medium</t>
        </is>
      </c>
      <c r="F184" s="9" t="inlineStr">
        <is>
          <t>Greedy</t>
        </is>
      </c>
      <c r="G184" s="9">
        <f>IF(Tracker!G62="✓","Yes","")</f>
        <v/>
      </c>
      <c r="H184" s="9" t="inlineStr"/>
      <c r="I184" s="9" t="n"/>
    </row>
    <row r="185">
      <c r="A185" s="9" t="n">
        <v>184</v>
      </c>
      <c r="B185" s="9" t="n">
        <v>62</v>
      </c>
      <c r="C185" s="19" t="n">
        <v>46354</v>
      </c>
      <c r="D185" s="20" t="inlineStr">
        <is>
          <t>Jump Game</t>
        </is>
      </c>
      <c r="E185" s="22" t="inlineStr">
        <is>
          <t>Medium</t>
        </is>
      </c>
      <c r="F185" s="9" t="inlineStr">
        <is>
          <t>Greedy</t>
        </is>
      </c>
      <c r="G185" s="9">
        <f>IF(Tracker!E63="✓","Yes","")</f>
        <v/>
      </c>
      <c r="H185" s="9" t="inlineStr"/>
      <c r="I185" s="9" t="n"/>
    </row>
    <row r="186">
      <c r="A186" s="9" t="n">
        <v>185</v>
      </c>
      <c r="B186" s="9" t="n">
        <v>62</v>
      </c>
      <c r="C186" s="19" t="n">
        <v>46354</v>
      </c>
      <c r="D186" s="20" t="inlineStr">
        <is>
          <t>Jump Game II</t>
        </is>
      </c>
      <c r="E186" s="22" t="inlineStr">
        <is>
          <t>Medium</t>
        </is>
      </c>
      <c r="F186" s="9" t="inlineStr">
        <is>
          <t>Greedy</t>
        </is>
      </c>
      <c r="G186" s="9">
        <f>IF(Tracker!F63="✓","Yes","")</f>
        <v/>
      </c>
      <c r="H186" s="9" t="inlineStr"/>
      <c r="I186" s="9" t="n"/>
    </row>
    <row r="187">
      <c r="A187" s="9" t="n">
        <v>186</v>
      </c>
      <c r="B187" s="9" t="n">
        <v>62</v>
      </c>
      <c r="C187" s="19" t="n">
        <v>46354</v>
      </c>
      <c r="D187" s="20" t="inlineStr">
        <is>
          <t>Gas Station</t>
        </is>
      </c>
      <c r="E187" s="22" t="inlineStr">
        <is>
          <t>Medium</t>
        </is>
      </c>
      <c r="F187" s="9" t="inlineStr">
        <is>
          <t>Greedy</t>
        </is>
      </c>
      <c r="G187" s="9">
        <f>IF(Tracker!G63="✓","Yes","")</f>
        <v/>
      </c>
      <c r="H187" s="9" t="inlineStr"/>
      <c r="I187" s="9" t="n"/>
    </row>
    <row r="188">
      <c r="A188" s="9" t="n">
        <v>187</v>
      </c>
      <c r="B188" s="9" t="n">
        <v>63</v>
      </c>
      <c r="C188" s="19" t="n">
        <v>46355</v>
      </c>
      <c r="D188" s="20" t="inlineStr">
        <is>
          <t>Partition Labels</t>
        </is>
      </c>
      <c r="E188" s="22" t="inlineStr">
        <is>
          <t>Medium</t>
        </is>
      </c>
      <c r="F188" s="9" t="inlineStr">
        <is>
          <t>Greedy</t>
        </is>
      </c>
      <c r="G188" s="9">
        <f>IF(Tracker!E64="✓","Yes","")</f>
        <v/>
      </c>
      <c r="H188" s="9" t="inlineStr"/>
      <c r="I188" s="9" t="n"/>
    </row>
    <row r="189">
      <c r="A189" s="9" t="n">
        <v>188</v>
      </c>
      <c r="B189" s="9" t="n">
        <v>63</v>
      </c>
      <c r="C189" s="19" t="n">
        <v>46355</v>
      </c>
      <c r="D189" s="20" t="inlineStr">
        <is>
          <t>Hand of Straights</t>
        </is>
      </c>
      <c r="E189" s="22" t="inlineStr">
        <is>
          <t>Medium</t>
        </is>
      </c>
      <c r="F189" s="9" t="inlineStr">
        <is>
          <t>Greedy</t>
        </is>
      </c>
      <c r="G189" s="9">
        <f>IF(Tracker!F64="✓","Yes","")</f>
        <v/>
      </c>
      <c r="H189" s="9" t="inlineStr"/>
      <c r="I189" s="9" t="n"/>
    </row>
    <row r="190">
      <c r="A190" s="9" t="n">
        <v>189</v>
      </c>
      <c r="B190" s="9" t="n">
        <v>63</v>
      </c>
      <c r="C190" s="19" t="n">
        <v>46355</v>
      </c>
      <c r="D190" s="20" t="inlineStr">
        <is>
          <t>Valid Parenthesis String</t>
        </is>
      </c>
      <c r="E190" s="22" t="inlineStr">
        <is>
          <t>Medium</t>
        </is>
      </c>
      <c r="F190" s="9" t="inlineStr">
        <is>
          <t>Greedy</t>
        </is>
      </c>
      <c r="G190" s="9">
        <f>IF(Tracker!G64="✓","Yes","")</f>
        <v/>
      </c>
      <c r="H190" s="9" t="inlineStr"/>
      <c r="I190" s="9" t="n"/>
    </row>
    <row r="191">
      <c r="A191" s="9" t="n">
        <v>190</v>
      </c>
      <c r="B191" s="9" t="n">
        <v>64</v>
      </c>
      <c r="C191" s="19" t="n">
        <v>46356</v>
      </c>
      <c r="D191" s="20" t="inlineStr">
        <is>
          <t>Isomorphic Strings</t>
        </is>
      </c>
      <c r="E191" s="21" t="inlineStr">
        <is>
          <t>Easy</t>
        </is>
      </c>
      <c r="F191" s="9" t="inlineStr">
        <is>
          <t>Hashing</t>
        </is>
      </c>
      <c r="G191" s="9">
        <f>IF(Tracker!E65="✓","Yes","")</f>
        <v/>
      </c>
      <c r="H191" s="9" t="inlineStr"/>
      <c r="I191" s="9" t="n"/>
    </row>
    <row r="192">
      <c r="A192" s="9" t="n">
        <v>191</v>
      </c>
      <c r="B192" s="9" t="n">
        <v>64</v>
      </c>
      <c r="C192" s="19" t="n">
        <v>46356</v>
      </c>
      <c r="D192" s="20" t="inlineStr">
        <is>
          <t>Word Pattern</t>
        </is>
      </c>
      <c r="E192" s="21" t="inlineStr">
        <is>
          <t>Easy</t>
        </is>
      </c>
      <c r="F192" s="9" t="inlineStr">
        <is>
          <t>Hashing</t>
        </is>
      </c>
      <c r="G192" s="9">
        <f>IF(Tracker!F65="✓","Yes","")</f>
        <v/>
      </c>
      <c r="H192" s="9" t="inlineStr"/>
      <c r="I192" s="9" t="n"/>
    </row>
    <row r="193">
      <c r="A193" s="9" t="n">
        <v>192</v>
      </c>
      <c r="B193" s="9" t="n">
        <v>64</v>
      </c>
      <c r="C193" s="19" t="n">
        <v>46356</v>
      </c>
      <c r="D193" s="20" t="inlineStr">
        <is>
          <t>Determine if Two Strings Are Close</t>
        </is>
      </c>
      <c r="E193" s="22" t="inlineStr">
        <is>
          <t>Medium</t>
        </is>
      </c>
      <c r="F193" s="9" t="inlineStr">
        <is>
          <t>Hashing</t>
        </is>
      </c>
      <c r="G193" s="9">
        <f>IF(Tracker!G65="✓","Yes","")</f>
        <v/>
      </c>
      <c r="H193" s="9" t="inlineStr"/>
      <c r="I193" s="9" t="n"/>
    </row>
    <row r="194">
      <c r="A194" s="9" t="n">
        <v>193</v>
      </c>
      <c r="B194" s="9" t="n">
        <v>65</v>
      </c>
      <c r="C194" s="19" t="n">
        <v>46357</v>
      </c>
      <c r="D194" s="20" t="inlineStr">
        <is>
          <t>Is Graph Bipartite?</t>
        </is>
      </c>
      <c r="E194" s="22" t="inlineStr">
        <is>
          <t>Medium</t>
        </is>
      </c>
      <c r="F194" s="9" t="inlineStr">
        <is>
          <t>Graphs (BFS / DFS / union-find)</t>
        </is>
      </c>
      <c r="G194" s="9">
        <f>IF(Tracker!E66="✓","Yes","")</f>
        <v/>
      </c>
      <c r="H194" s="9" t="inlineStr"/>
      <c r="I194" s="9" t="n"/>
    </row>
    <row r="195">
      <c r="A195" s="9" t="n">
        <v>194</v>
      </c>
      <c r="B195" s="9" t="n">
        <v>65</v>
      </c>
      <c r="C195" s="19" t="n">
        <v>46357</v>
      </c>
      <c r="D195" s="20" t="inlineStr">
        <is>
          <t>Evaluate Division</t>
        </is>
      </c>
      <c r="E195" s="22" t="inlineStr">
        <is>
          <t>Medium</t>
        </is>
      </c>
      <c r="F195" s="9" t="inlineStr">
        <is>
          <t>Graphs (BFS / DFS / union-find)</t>
        </is>
      </c>
      <c r="G195" s="9">
        <f>IF(Tracker!F66="✓","Yes","")</f>
        <v/>
      </c>
      <c r="H195" s="9" t="inlineStr"/>
      <c r="I195" s="9" t="n"/>
    </row>
    <row r="196">
      <c r="A196" s="9" t="n">
        <v>195</v>
      </c>
      <c r="B196" s="9" t="n">
        <v>65</v>
      </c>
      <c r="C196" s="19" t="n">
        <v>46357</v>
      </c>
      <c r="D196" s="20" t="inlineStr">
        <is>
          <t>Find Eventual Safe States</t>
        </is>
      </c>
      <c r="E196" s="22" t="inlineStr">
        <is>
          <t>Medium</t>
        </is>
      </c>
      <c r="F196" s="9" t="inlineStr">
        <is>
          <t>Graphs (BFS / DFS / union-find)</t>
        </is>
      </c>
      <c r="G196" s="9">
        <f>IF(Tracker!G66="✓","Yes","")</f>
        <v/>
      </c>
      <c r="H196" s="9" t="inlineStr"/>
      <c r="I196" s="9" t="n"/>
    </row>
    <row r="197">
      <c r="A197" s="9" t="n">
        <v>196</v>
      </c>
      <c r="B197" s="9" t="n">
        <v>66</v>
      </c>
      <c r="C197" s="19" t="n">
        <v>46358</v>
      </c>
      <c r="D197" s="20" t="inlineStr">
        <is>
          <t>Insert Delete GetRandom O(1)</t>
        </is>
      </c>
      <c r="E197" s="22" t="inlineStr">
        <is>
          <t>Medium</t>
        </is>
      </c>
      <c r="F197" s="9" t="inlineStr">
        <is>
          <t>Design data structures</t>
        </is>
      </c>
      <c r="G197" s="9">
        <f>IF(Tracker!E67="✓","Yes","")</f>
        <v/>
      </c>
      <c r="H197" s="9" t="inlineStr"/>
      <c r="I197" s="9" t="n"/>
    </row>
    <row r="198">
      <c r="A198" s="9" t="n">
        <v>197</v>
      </c>
      <c r="B198" s="9" t="n">
        <v>66</v>
      </c>
      <c r="C198" s="19" t="n">
        <v>46358</v>
      </c>
      <c r="D198" s="20" t="inlineStr">
        <is>
          <t>Design HashMap</t>
        </is>
      </c>
      <c r="E198" s="21" t="inlineStr">
        <is>
          <t>Easy</t>
        </is>
      </c>
      <c r="F198" s="9" t="inlineStr">
        <is>
          <t>Design data structures</t>
        </is>
      </c>
      <c r="G198" s="9">
        <f>IF(Tracker!F67="✓","Yes","")</f>
        <v/>
      </c>
      <c r="H198" s="9" t="inlineStr"/>
      <c r="I198" s="9" t="n"/>
    </row>
    <row r="199">
      <c r="A199" s="9" t="n">
        <v>198</v>
      </c>
      <c r="B199" s="9" t="n">
        <v>66</v>
      </c>
      <c r="C199" s="19" t="n">
        <v>46358</v>
      </c>
      <c r="D199" s="20" t="inlineStr">
        <is>
          <t>Design HashSet</t>
        </is>
      </c>
      <c r="E199" s="21" t="inlineStr">
        <is>
          <t>Easy</t>
        </is>
      </c>
      <c r="F199" s="9" t="inlineStr">
        <is>
          <t>Design data structures</t>
        </is>
      </c>
      <c r="G199" s="9">
        <f>IF(Tracker!G67="✓","Yes","")</f>
        <v/>
      </c>
      <c r="H199" s="9" t="inlineStr"/>
      <c r="I199" s="9" t="n"/>
    </row>
    <row r="200">
      <c r="A200" s="9" t="n">
        <v>199</v>
      </c>
      <c r="B200" s="9" t="n">
        <v>67</v>
      </c>
      <c r="C200" s="19" t="n">
        <v>46359</v>
      </c>
      <c r="D200" s="20" t="inlineStr">
        <is>
          <t>First Missing Positive</t>
        </is>
      </c>
      <c r="E200" s="23" t="inlineStr">
        <is>
          <t>Hard</t>
        </is>
      </c>
      <c r="F200" s="9" t="inlineStr">
        <is>
          <t>Arrays &amp; matrix</t>
        </is>
      </c>
      <c r="G200" s="9">
        <f>IF(Tracker!E68="✓","Yes","")</f>
        <v/>
      </c>
      <c r="H200" s="9" t="inlineStr"/>
      <c r="I200" s="9" t="n"/>
    </row>
    <row r="201">
      <c r="A201" s="9" t="n">
        <v>200</v>
      </c>
      <c r="B201" s="9" t="n">
        <v>67</v>
      </c>
      <c r="C201" s="19" t="n">
        <v>46359</v>
      </c>
      <c r="D201" s="20" t="inlineStr">
        <is>
          <t>Spiral Matrix</t>
        </is>
      </c>
      <c r="E201" s="22" t="inlineStr">
        <is>
          <t>Medium</t>
        </is>
      </c>
      <c r="F201" s="9" t="inlineStr">
        <is>
          <t>Arrays &amp; matrix</t>
        </is>
      </c>
      <c r="G201" s="9">
        <f>IF(Tracker!F68="✓","Yes","")</f>
        <v/>
      </c>
      <c r="H201" s="9" t="inlineStr"/>
      <c r="I201" s="9" t="n"/>
    </row>
    <row r="202">
      <c r="A202" s="9" t="n">
        <v>201</v>
      </c>
      <c r="B202" s="9" t="n">
        <v>67</v>
      </c>
      <c r="C202" s="19" t="n">
        <v>46359</v>
      </c>
      <c r="D202" s="20" t="inlineStr">
        <is>
          <t>Set Matrix Zeroes</t>
        </is>
      </c>
      <c r="E202" s="22" t="inlineStr">
        <is>
          <t>Medium</t>
        </is>
      </c>
      <c r="F202" s="9" t="inlineStr">
        <is>
          <t>Arrays &amp; matrix</t>
        </is>
      </c>
      <c r="G202" s="9">
        <f>IF(Tracker!G68="✓","Yes","")</f>
        <v/>
      </c>
      <c r="H202" s="9" t="inlineStr"/>
      <c r="I202" s="9" t="n"/>
    </row>
    <row r="203">
      <c r="A203" s="9" t="n">
        <v>202</v>
      </c>
      <c r="B203" s="9" t="n">
        <v>68</v>
      </c>
      <c r="C203" s="19" t="n">
        <v>46360</v>
      </c>
      <c r="D203" s="20" t="inlineStr">
        <is>
          <t>Palindrome Number</t>
        </is>
      </c>
      <c r="E203" s="21" t="inlineStr">
        <is>
          <t>Easy</t>
        </is>
      </c>
      <c r="F203" s="9" t="inlineStr">
        <is>
          <t>Math &amp; strings</t>
        </is>
      </c>
      <c r="G203" s="9">
        <f>IF(Tracker!E69="✓","Yes","")</f>
        <v/>
      </c>
      <c r="H203" s="9" t="inlineStr"/>
      <c r="I203" s="9" t="n"/>
    </row>
    <row r="204">
      <c r="A204" s="9" t="n">
        <v>203</v>
      </c>
      <c r="B204" s="9" t="n">
        <v>68</v>
      </c>
      <c r="C204" s="19" t="n">
        <v>46360</v>
      </c>
      <c r="D204" s="20" t="inlineStr">
        <is>
          <t>Roman to Integer</t>
        </is>
      </c>
      <c r="E204" s="21" t="inlineStr">
        <is>
          <t>Easy</t>
        </is>
      </c>
      <c r="F204" s="9" t="inlineStr">
        <is>
          <t>Math &amp; strings</t>
        </is>
      </c>
      <c r="G204" s="9">
        <f>IF(Tracker!F69="✓","Yes","")</f>
        <v/>
      </c>
      <c r="H204" s="9" t="inlineStr"/>
      <c r="I204" s="9" t="n"/>
    </row>
    <row r="205">
      <c r="A205" s="9" t="n">
        <v>204</v>
      </c>
      <c r="B205" s="9" t="n">
        <v>68</v>
      </c>
      <c r="C205" s="19" t="n">
        <v>46360</v>
      </c>
      <c r="D205" s="20" t="inlineStr">
        <is>
          <t>Length of Last Word</t>
        </is>
      </c>
      <c r="E205" s="21" t="inlineStr">
        <is>
          <t>Easy</t>
        </is>
      </c>
      <c r="F205" s="9" t="inlineStr">
        <is>
          <t>Math &amp; strings</t>
        </is>
      </c>
      <c r="G205" s="9">
        <f>IF(Tracker!G69="✓","Yes","")</f>
        <v/>
      </c>
      <c r="H205" s="9" t="inlineStr"/>
      <c r="I205" s="9" t="n"/>
    </row>
    <row r="206">
      <c r="A206" s="9" t="n">
        <v>205</v>
      </c>
      <c r="B206" s="9" t="n">
        <v>69</v>
      </c>
      <c r="C206" s="19" t="n">
        <v>46361</v>
      </c>
      <c r="D206" s="20" t="inlineStr">
        <is>
          <t>Maximum Subarray</t>
        </is>
      </c>
      <c r="E206" s="22" t="inlineStr">
        <is>
          <t>Medium</t>
        </is>
      </c>
      <c r="F206" s="9" t="inlineStr">
        <is>
          <t>Kadane / subarrays</t>
        </is>
      </c>
      <c r="G206" s="9">
        <f>IF(Tracker!E70="✓","Yes","")</f>
        <v/>
      </c>
      <c r="H206" s="9" t="inlineStr"/>
      <c r="I206" s="9" t="n"/>
    </row>
    <row r="207">
      <c r="A207" s="9" t="n">
        <v>206</v>
      </c>
      <c r="B207" s="9" t="n">
        <v>69</v>
      </c>
      <c r="C207" s="19" t="n">
        <v>46361</v>
      </c>
      <c r="D207" s="20" t="inlineStr">
        <is>
          <t>Maximum Sum Circular Subarray</t>
        </is>
      </c>
      <c r="E207" s="22" t="inlineStr">
        <is>
          <t>Medium</t>
        </is>
      </c>
      <c r="F207" s="9" t="inlineStr">
        <is>
          <t>Kadane / subarrays</t>
        </is>
      </c>
      <c r="G207" s="9">
        <f>IF(Tracker!F70="✓","Yes","")</f>
        <v/>
      </c>
      <c r="H207" s="9" t="inlineStr"/>
      <c r="I207" s="9" t="n"/>
    </row>
    <row r="208">
      <c r="A208" s="9" t="n">
        <v>207</v>
      </c>
      <c r="B208" s="9" t="n">
        <v>69</v>
      </c>
      <c r="C208" s="19" t="n">
        <v>46361</v>
      </c>
      <c r="D208" s="20" t="inlineStr">
        <is>
          <t>Longest Subarray of 1's After Deleting One Element</t>
        </is>
      </c>
      <c r="E208" s="22" t="inlineStr">
        <is>
          <t>Medium</t>
        </is>
      </c>
      <c r="F208" s="9" t="inlineStr">
        <is>
          <t>Kadane / subarrays</t>
        </is>
      </c>
      <c r="G208" s="9">
        <f>IF(Tracker!G70="✓","Yes","")</f>
        <v/>
      </c>
      <c r="H208" s="9" t="inlineStr"/>
      <c r="I208" s="9" t="n"/>
    </row>
    <row r="209">
      <c r="A209" s="9" t="n">
        <v>208</v>
      </c>
      <c r="B209" s="9" t="n">
        <v>70</v>
      </c>
      <c r="C209" s="19" t="n">
        <v>46362</v>
      </c>
      <c r="D209" s="20" t="inlineStr">
        <is>
          <t>String to Integer (atoi)</t>
        </is>
      </c>
      <c r="E209" s="22" t="inlineStr">
        <is>
          <t>Medium</t>
        </is>
      </c>
      <c r="F209" s="9" t="inlineStr">
        <is>
          <t>Math &amp; strings</t>
        </is>
      </c>
      <c r="G209" s="9">
        <f>IF(Tracker!E71="✓","Yes","")</f>
        <v/>
      </c>
      <c r="H209" s="9" t="inlineStr"/>
      <c r="I209" s="9" t="n"/>
    </row>
    <row r="210">
      <c r="A210" s="9" t="n">
        <v>209</v>
      </c>
      <c r="B210" s="9" t="n">
        <v>70</v>
      </c>
      <c r="C210" s="19" t="n">
        <v>46362</v>
      </c>
      <c r="D210" s="20" t="inlineStr">
        <is>
          <t>Multiply Strings</t>
        </is>
      </c>
      <c r="E210" s="22" t="inlineStr">
        <is>
          <t>Medium</t>
        </is>
      </c>
      <c r="F210" s="9" t="inlineStr">
        <is>
          <t>Math &amp; strings</t>
        </is>
      </c>
      <c r="G210" s="9">
        <f>IF(Tracker!F71="✓","Yes","")</f>
        <v/>
      </c>
      <c r="H210" s="9" t="inlineStr"/>
      <c r="I210" s="9" t="n"/>
    </row>
    <row r="211">
      <c r="A211" s="9" t="n">
        <v>210</v>
      </c>
      <c r="B211" s="9" t="n">
        <v>70</v>
      </c>
      <c r="C211" s="19" t="n">
        <v>46362</v>
      </c>
      <c r="D211" s="20" t="inlineStr">
        <is>
          <t>Integer to Roman</t>
        </is>
      </c>
      <c r="E211" s="22" t="inlineStr">
        <is>
          <t>Medium</t>
        </is>
      </c>
      <c r="F211" s="9" t="inlineStr">
        <is>
          <t>Math &amp; strings</t>
        </is>
      </c>
      <c r="G211" s="9">
        <f>IF(Tracker!G71="✓","Yes","")</f>
        <v/>
      </c>
      <c r="H211" s="9" t="inlineStr"/>
      <c r="I211" s="9" t="n"/>
    </row>
    <row r="212">
      <c r="A212" s="9" t="n">
        <v>211</v>
      </c>
      <c r="B212" s="9" t="n">
        <v>71</v>
      </c>
      <c r="C212" s="19" t="n">
        <v>46363</v>
      </c>
      <c r="D212" s="20" t="inlineStr">
        <is>
          <t>Contains Duplicate II</t>
        </is>
      </c>
      <c r="E212" s="21" t="inlineStr">
        <is>
          <t>Easy</t>
        </is>
      </c>
      <c r="F212" s="9" t="inlineStr">
        <is>
          <t>Hashing</t>
        </is>
      </c>
      <c r="G212" s="9">
        <f>IF(Tracker!E72="✓","Yes","")</f>
        <v/>
      </c>
      <c r="H212" s="9" t="inlineStr"/>
      <c r="I212" s="9" t="n"/>
    </row>
    <row r="213">
      <c r="A213" s="9" t="n">
        <v>212</v>
      </c>
      <c r="B213" s="9" t="n">
        <v>71</v>
      </c>
      <c r="C213" s="19" t="n">
        <v>46363</v>
      </c>
      <c r="D213" s="20" t="inlineStr">
        <is>
          <t>Summary Ranges</t>
        </is>
      </c>
      <c r="E213" s="21" t="inlineStr">
        <is>
          <t>Easy</t>
        </is>
      </c>
      <c r="F213" s="9" t="inlineStr">
        <is>
          <t>Hashing</t>
        </is>
      </c>
      <c r="G213" s="9">
        <f>IF(Tracker!F72="✓","Yes","")</f>
        <v/>
      </c>
      <c r="H213" s="9" t="inlineStr"/>
      <c r="I213" s="9" t="n"/>
    </row>
    <row r="214">
      <c r="A214" s="9" t="n">
        <v>213</v>
      </c>
      <c r="B214" s="9" t="n">
        <v>71</v>
      </c>
      <c r="C214" s="19" t="n">
        <v>46363</v>
      </c>
      <c r="D214" s="20" t="inlineStr">
        <is>
          <t>Unique Number of Occurrences</t>
        </is>
      </c>
      <c r="E214" s="21" t="inlineStr">
        <is>
          <t>Easy</t>
        </is>
      </c>
      <c r="F214" s="9" t="inlineStr">
        <is>
          <t>Hashing</t>
        </is>
      </c>
      <c r="G214" s="9">
        <f>IF(Tracker!G72="✓","Yes","")</f>
        <v/>
      </c>
      <c r="H214" s="9" t="inlineStr"/>
      <c r="I214" s="9" t="n"/>
    </row>
    <row r="215">
      <c r="A215" s="9" t="n">
        <v>214</v>
      </c>
      <c r="B215" s="9" t="n">
        <v>72</v>
      </c>
      <c r="C215" s="19" t="n">
        <v>46364</v>
      </c>
      <c r="D215" s="20" t="inlineStr">
        <is>
          <t>Reorder Routes to Make All Paths Lead to the City Zero</t>
        </is>
      </c>
      <c r="E215" s="22" t="inlineStr">
        <is>
          <t>Medium</t>
        </is>
      </c>
      <c r="F215" s="9" t="inlineStr">
        <is>
          <t>Graphs (BFS / DFS / union-find)</t>
        </is>
      </c>
      <c r="G215" s="9">
        <f>IF(Tracker!E73="✓","Yes","")</f>
        <v/>
      </c>
      <c r="H215" s="9" t="inlineStr"/>
      <c r="I215" s="9" t="n"/>
    </row>
    <row r="216">
      <c r="A216" s="9" t="n">
        <v>215</v>
      </c>
      <c r="B216" s="9" t="n">
        <v>72</v>
      </c>
      <c r="C216" s="19" t="n">
        <v>46364</v>
      </c>
      <c r="D216" s="20" t="inlineStr">
        <is>
          <t>Keys and Rooms</t>
        </is>
      </c>
      <c r="E216" s="22" t="inlineStr">
        <is>
          <t>Medium</t>
        </is>
      </c>
      <c r="F216" s="9" t="inlineStr">
        <is>
          <t>Graphs (BFS / DFS / union-find)</t>
        </is>
      </c>
      <c r="G216" s="9">
        <f>IF(Tracker!F73="✓","Yes","")</f>
        <v/>
      </c>
      <c r="H216" s="9" t="inlineStr"/>
      <c r="I216" s="9" t="n"/>
    </row>
    <row r="217">
      <c r="A217" s="9" t="n">
        <v>216</v>
      </c>
      <c r="B217" s="9" t="n">
        <v>72</v>
      </c>
      <c r="C217" s="19" t="n">
        <v>46364</v>
      </c>
      <c r="D217" s="20" t="inlineStr">
        <is>
          <t>Nearest Exit from Entrance in Maze</t>
        </is>
      </c>
      <c r="E217" s="22" t="inlineStr">
        <is>
          <t>Medium</t>
        </is>
      </c>
      <c r="F217" s="9" t="inlineStr">
        <is>
          <t>Graphs (BFS / DFS / union-find)</t>
        </is>
      </c>
      <c r="G217" s="9">
        <f>IF(Tracker!G73="✓","Yes","")</f>
        <v/>
      </c>
      <c r="H217" s="9" t="inlineStr"/>
      <c r="I217" s="9" t="n"/>
    </row>
    <row r="218">
      <c r="A218" s="9" t="n">
        <v>217</v>
      </c>
      <c r="B218" s="9" t="n">
        <v>73</v>
      </c>
      <c r="C218" s="19" t="n">
        <v>46365</v>
      </c>
      <c r="D218" s="20" t="inlineStr">
        <is>
          <t>Merge Strings Alternately</t>
        </is>
      </c>
      <c r="E218" s="21" t="inlineStr">
        <is>
          <t>Easy</t>
        </is>
      </c>
      <c r="F218" s="9" t="inlineStr">
        <is>
          <t>Mixed interview set (LeetCode 75)</t>
        </is>
      </c>
      <c r="G218" s="9">
        <f>IF(Tracker!E74="✓","Yes","")</f>
        <v/>
      </c>
      <c r="H218" s="9" t="inlineStr"/>
      <c r="I218" s="9" t="n"/>
    </row>
    <row r="219">
      <c r="A219" s="9" t="n">
        <v>218</v>
      </c>
      <c r="B219" s="9" t="n">
        <v>73</v>
      </c>
      <c r="C219" s="19" t="n">
        <v>46365</v>
      </c>
      <c r="D219" s="20" t="inlineStr">
        <is>
          <t>Greatest Common Divisor of Strings</t>
        </is>
      </c>
      <c r="E219" s="21" t="inlineStr">
        <is>
          <t>Easy</t>
        </is>
      </c>
      <c r="F219" s="9" t="inlineStr">
        <is>
          <t>Mixed interview set (LeetCode 75)</t>
        </is>
      </c>
      <c r="G219" s="9">
        <f>IF(Tracker!F74="✓","Yes","")</f>
        <v/>
      </c>
      <c r="H219" s="9" t="inlineStr"/>
      <c r="I219" s="9" t="n"/>
    </row>
    <row r="220">
      <c r="A220" s="9" t="n">
        <v>219</v>
      </c>
      <c r="B220" s="9" t="n">
        <v>73</v>
      </c>
      <c r="C220" s="19" t="n">
        <v>46365</v>
      </c>
      <c r="D220" s="20" t="inlineStr">
        <is>
          <t>Can Place Flowers</t>
        </is>
      </c>
      <c r="E220" s="21" t="inlineStr">
        <is>
          <t>Easy</t>
        </is>
      </c>
      <c r="F220" s="9" t="inlineStr">
        <is>
          <t>Mixed interview set (LeetCode 75)</t>
        </is>
      </c>
      <c r="G220" s="9">
        <f>IF(Tracker!G74="✓","Yes","")</f>
        <v/>
      </c>
      <c r="H220" s="9" t="inlineStr"/>
      <c r="I220" s="9" t="n"/>
    </row>
    <row r="221">
      <c r="A221" s="9" t="n">
        <v>220</v>
      </c>
      <c r="B221" s="9" t="n">
        <v>74</v>
      </c>
      <c r="C221" s="19" t="n">
        <v>46366</v>
      </c>
      <c r="D221" s="20" t="inlineStr">
        <is>
          <t>Kids With the Greatest Number of Candies</t>
        </is>
      </c>
      <c r="E221" s="21" t="inlineStr">
        <is>
          <t>Easy</t>
        </is>
      </c>
      <c r="F221" s="9" t="inlineStr">
        <is>
          <t>Mixed interview set (LeetCode 75)</t>
        </is>
      </c>
      <c r="G221" s="9">
        <f>IF(Tracker!E75="✓","Yes","")</f>
        <v/>
      </c>
      <c r="H221" s="9" t="inlineStr"/>
      <c r="I221" s="9" t="n"/>
    </row>
    <row r="222">
      <c r="A222" s="9" t="n">
        <v>221</v>
      </c>
      <c r="B222" s="9" t="n">
        <v>74</v>
      </c>
      <c r="C222" s="19" t="n">
        <v>46366</v>
      </c>
      <c r="D222" s="20" t="inlineStr">
        <is>
          <t>Reverse Vowels of a String</t>
        </is>
      </c>
      <c r="E222" s="21" t="inlineStr">
        <is>
          <t>Easy</t>
        </is>
      </c>
      <c r="F222" s="9" t="inlineStr">
        <is>
          <t>Mixed interview set (LeetCode 75)</t>
        </is>
      </c>
      <c r="G222" s="9">
        <f>IF(Tracker!F75="✓","Yes","")</f>
        <v/>
      </c>
      <c r="H222" s="9" t="inlineStr"/>
      <c r="I222" s="9" t="n"/>
    </row>
    <row r="223">
      <c r="A223" s="9" t="n">
        <v>222</v>
      </c>
      <c r="B223" s="9" t="n">
        <v>74</v>
      </c>
      <c r="C223" s="19" t="n">
        <v>46366</v>
      </c>
      <c r="D223" s="20" t="inlineStr">
        <is>
          <t>Reverse Words in a String</t>
        </is>
      </c>
      <c r="E223" s="22" t="inlineStr">
        <is>
          <t>Medium</t>
        </is>
      </c>
      <c r="F223" s="9" t="inlineStr">
        <is>
          <t>Mixed interview set (LeetCode 75)</t>
        </is>
      </c>
      <c r="G223" s="9">
        <f>IF(Tracker!G75="✓","Yes","")</f>
        <v/>
      </c>
      <c r="H223" s="9" t="inlineStr"/>
      <c r="I223" s="9" t="n"/>
    </row>
    <row r="224">
      <c r="A224" s="9" t="n">
        <v>223</v>
      </c>
      <c r="B224" s="9" t="n">
        <v>75</v>
      </c>
      <c r="C224" s="19" t="n">
        <v>46367</v>
      </c>
      <c r="D224" s="20" t="inlineStr">
        <is>
          <t>String Compression</t>
        </is>
      </c>
      <c r="E224" s="22" t="inlineStr">
        <is>
          <t>Medium</t>
        </is>
      </c>
      <c r="F224" s="9" t="inlineStr">
        <is>
          <t>Mixed interview set (LeetCode 75)</t>
        </is>
      </c>
      <c r="G224" s="9">
        <f>IF(Tracker!E76="✓","Yes","")</f>
        <v/>
      </c>
      <c r="H224" s="9" t="inlineStr"/>
      <c r="I224" s="9" t="n"/>
    </row>
    <row r="225">
      <c r="A225" s="9" t="n">
        <v>224</v>
      </c>
      <c r="B225" s="9" t="n">
        <v>75</v>
      </c>
      <c r="C225" s="19" t="n">
        <v>46367</v>
      </c>
      <c r="D225" s="20" t="inlineStr">
        <is>
          <t>Max Number of K-Sum Pairs</t>
        </is>
      </c>
      <c r="E225" s="22" t="inlineStr">
        <is>
          <t>Medium</t>
        </is>
      </c>
      <c r="F225" s="9" t="inlineStr">
        <is>
          <t>Mixed interview set (LeetCode 75)</t>
        </is>
      </c>
      <c r="G225" s="9">
        <f>IF(Tracker!F76="✓","Yes","")</f>
        <v/>
      </c>
      <c r="H225" s="9" t="inlineStr"/>
      <c r="I225" s="9" t="n"/>
    </row>
    <row r="226">
      <c r="A226" s="9" t="n">
        <v>225</v>
      </c>
      <c r="B226" s="9" t="n">
        <v>75</v>
      </c>
      <c r="C226" s="19" t="n">
        <v>46367</v>
      </c>
      <c r="D226" s="20" t="inlineStr">
        <is>
          <t>Increasing Triplet Subsequence</t>
        </is>
      </c>
      <c r="E226" s="22" t="inlineStr">
        <is>
          <t>Medium</t>
        </is>
      </c>
      <c r="F226" s="9" t="inlineStr">
        <is>
          <t>Mixed interview set (LeetCode 75)</t>
        </is>
      </c>
      <c r="G226" s="9">
        <f>IF(Tracker!G76="✓","Yes","")</f>
        <v/>
      </c>
      <c r="H226" s="9" t="inlineStr"/>
      <c r="I226" s="9" t="n"/>
    </row>
  </sheetData>
  <autoFilter ref="A1:I226"/>
  <conditionalFormatting sqref="G2:G226">
    <cfRule type="cellIs" priority="1" operator="equal" dxfId="0">
      <formula>"Yes"</formula>
    </cfRule>
  </conditionalFormatting>
  <dataValidations count="1">
    <dataValidation sqref="H2:H226" showDropDown="0" showInputMessage="0" showErrorMessage="0" allowBlank="1" type="list">
      <formula1>"↻"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  <col width="52" customWidth="1" min="4" max="4"/>
  </cols>
  <sheetData>
    <row r="1" ht="30" customHeight="1">
      <c r="A1" s="8" t="inlineStr">
        <is>
          <t>When</t>
        </is>
      </c>
      <c r="B1" s="8" t="inlineStr">
        <is>
          <t>Time</t>
        </is>
      </c>
      <c r="C1" s="8" t="inlineStr">
        <is>
          <t>What</t>
        </is>
      </c>
      <c r="D1" s="8" t="inlineStr">
        <is>
          <t>Notes</t>
        </is>
      </c>
    </row>
    <row r="2">
      <c r="A2" t="inlineStr">
        <is>
          <t>Mon–Fri</t>
        </is>
      </c>
      <c r="B2" t="inlineStr">
        <is>
          <t>7:00</t>
        </is>
      </c>
      <c r="C2" t="inlineStr">
        <is>
          <t>Wake, 500 ml water</t>
        </is>
      </c>
      <c r="D2" t="inlineStr">
        <is>
          <t>Start the water count before the phone</t>
        </is>
      </c>
    </row>
    <row r="3">
      <c r="A3" t="inlineStr">
        <is>
          <t>Mon–Fri</t>
        </is>
      </c>
      <c r="B3" t="inlineStr">
        <is>
          <t>7:15</t>
        </is>
      </c>
      <c r="C3" t="inlineStr">
        <is>
          <t>Walk 1 km+ or 30 min workout</t>
        </is>
      </c>
      <c r="D3" t="inlineStr">
        <is>
          <t>Outdoors if you can</t>
        </is>
      </c>
    </row>
    <row r="4">
      <c r="A4" t="inlineStr">
        <is>
          <t>Mon–Fri</t>
        </is>
      </c>
      <c r="B4" t="inlineStr">
        <is>
          <t>7:50</t>
        </is>
      </c>
      <c r="C4" t="inlineStr">
        <is>
          <t>LeetCode #1 and #2</t>
        </is>
      </c>
      <c r="D4" t="inlineStr">
        <is>
          <t>Fresh brain, hardest problem first; 30 min max each</t>
        </is>
      </c>
    </row>
    <row r="5">
      <c r="A5" t="inlineStr">
        <is>
          <t>Mon–Fri</t>
        </is>
      </c>
      <c r="B5" t="inlineStr">
        <is>
          <t>9:00</t>
        </is>
      </c>
      <c r="C5" t="inlineStr">
        <is>
          <t>Breakfast, get ready</t>
        </is>
      </c>
      <c r="D5" t="inlineStr">
        <is>
          <t>Fill a 1 L bottle for the desk</t>
        </is>
      </c>
    </row>
    <row r="6">
      <c r="A6" t="inlineStr">
        <is>
          <t>Mon–Fri</t>
        </is>
      </c>
      <c r="B6" t="inlineStr">
        <is>
          <t>10:00</t>
        </is>
      </c>
      <c r="C6" t="inlineStr">
        <is>
          <t>Office</t>
        </is>
      </c>
      <c r="D6" t="inlineStr">
        <is>
          <t>First litre done by lunch</t>
        </is>
      </c>
    </row>
    <row r="7">
      <c r="A7" t="inlineStr">
        <is>
          <t>Mon–Fri</t>
        </is>
      </c>
      <c r="B7" t="inlineStr">
        <is>
          <t>Lunch</t>
        </is>
      </c>
      <c r="C7" t="inlineStr">
        <is>
          <t>HLD read, 25–30 min</t>
        </is>
      </c>
      <c r="D7" t="inlineStr">
        <is>
          <t>The day's office topic; read or watch</t>
        </is>
      </c>
    </row>
    <row r="8">
      <c r="A8" t="inlineStr">
        <is>
          <t>Mon–Fri</t>
        </is>
      </c>
      <c r="B8" t="inlineStr">
        <is>
          <t>7:00 pm</t>
        </is>
      </c>
      <c r="C8" t="inlineStr">
        <is>
          <t>Home, shower, dinner</t>
        </is>
      </c>
      <c r="D8" t="inlineStr">
        <is>
          <t>Second litre done by now</t>
        </is>
      </c>
    </row>
    <row r="9">
      <c r="A9" t="inlineStr">
        <is>
          <t>Mon–Fri</t>
        </is>
      </c>
      <c r="B9" t="inlineStr">
        <is>
          <t>8:00 pm</t>
        </is>
      </c>
      <c r="C9" t="inlineStr">
        <is>
          <t>Free time</t>
        </is>
      </c>
      <c r="D9" t="inlineStr">
        <is>
          <t>Guilt-free, at least 1 hour</t>
        </is>
      </c>
    </row>
    <row r="10">
      <c r="A10" t="inlineStr">
        <is>
          <t>Mon–Fri</t>
        </is>
      </c>
      <c r="B10" t="inlineStr">
        <is>
          <t>9:00 pm</t>
        </is>
      </c>
      <c r="C10" t="inlineStr">
        <is>
          <t>LLD 30 min + cloud 30 min, then LeetCode #3</t>
        </is>
      </c>
      <c r="D10" t="inlineStr">
        <is>
          <t>Code the LLD in C#, then the cloud lab</t>
        </is>
      </c>
    </row>
    <row r="11">
      <c r="A11" t="inlineStr">
        <is>
          <t>Mon–Fri</t>
        </is>
      </c>
      <c r="B11" t="inlineStr">
        <is>
          <t>10:15 pm</t>
        </is>
      </c>
      <c r="C11" t="inlineStr">
        <is>
          <t>Wind down</t>
        </is>
      </c>
      <c r="D11" t="inlineStr">
        <is>
          <t>Screens down by 11</t>
        </is>
      </c>
    </row>
    <row r="12">
      <c r="A12" t="inlineStr">
        <is>
          <t>Mon–Fri</t>
        </is>
      </c>
      <c r="B12" t="inlineStr">
        <is>
          <t>11:15 pm</t>
        </is>
      </c>
      <c r="C12" t="inlineStr">
        <is>
          <t>Sleep</t>
        </is>
      </c>
      <c r="D12" t="inlineStr">
        <is>
          <t>Protect ~7.5 hours</t>
        </is>
      </c>
    </row>
    <row r="13">
      <c r="A13" t="inlineStr">
        <is>
          <t>Saturday</t>
        </is>
      </c>
      <c r="B13" t="inlineStr">
        <is>
          <t>Morning</t>
        </is>
      </c>
      <c r="C13" t="inlineStr">
        <is>
          <t>Longer walk or workout + 3 LeetCode</t>
        </is>
      </c>
      <c r="D13" t="inlineStr">
        <is>
          <t>Hardest first</t>
        </is>
      </c>
    </row>
    <row r="14">
      <c r="A14" t="inlineStr">
        <is>
          <t>Saturday</t>
        </is>
      </c>
      <c r="B14" t="inlineStr">
        <is>
          <t>Midday</t>
        </is>
      </c>
      <c r="C14" t="inlineStr">
        <is>
          <t>2-hour build block</t>
        </is>
      </c>
      <c r="D14" t="inlineStr">
        <is>
          <t>Tie the week's HLD, LLD and cloud into one small project</t>
        </is>
      </c>
    </row>
    <row r="15">
      <c r="A15" t="inlineStr">
        <is>
          <t>Saturday</t>
        </is>
      </c>
      <c r="B15" t="inlineStr">
        <is>
          <t>Afternoon</t>
        </is>
      </c>
      <c r="C15" t="inlineStr">
        <is>
          <t>Clean up cloud resources</t>
        </is>
      </c>
      <c r="D15" t="inlineStr">
        <is>
          <t>Check the billing alarm</t>
        </is>
      </c>
    </row>
    <row r="16">
      <c r="A16" t="inlineStr">
        <is>
          <t>Saturday</t>
        </is>
      </c>
      <c r="B16" t="inlineStr">
        <is>
          <t>Rest</t>
        </is>
      </c>
      <c r="C16" t="inlineStr">
        <is>
          <t>Free</t>
        </is>
      </c>
      <c r="D16" t="inlineStr"/>
    </row>
    <row r="17">
      <c r="A17" t="inlineStr">
        <is>
          <t>Sunday</t>
        </is>
      </c>
      <c r="B17" t="inlineStr">
        <is>
          <t>Morning</t>
        </is>
      </c>
      <c r="C17" t="inlineStr">
        <is>
          <t>Easy 1 km walk + 3 LeetCode</t>
        </is>
      </c>
      <c r="D17" t="inlineStr">
        <is>
          <t>Re-solve every ↻ revisit from the week first</t>
        </is>
      </c>
    </row>
    <row r="18">
      <c r="A18" t="inlineStr">
        <is>
          <t>Sunday</t>
        </is>
      </c>
      <c r="B18" t="inlineStr">
        <is>
          <t>Midday</t>
        </is>
      </c>
      <c r="C18" t="inlineStr">
        <is>
          <t>45 min: revise the week on one page</t>
        </is>
      </c>
      <c r="D18" t="inlineStr">
        <is>
          <t>Say each topic out loud in 2 sentences</t>
        </is>
      </c>
    </row>
    <row r="19">
      <c r="A19" t="inlineStr">
        <is>
          <t>Sunday</t>
        </is>
      </c>
      <c r="B19" t="inlineStr">
        <is>
          <t>Evening</t>
        </is>
      </c>
      <c r="C19" t="inlineStr">
        <is>
          <t>Meal prep for the week</t>
        </is>
      </c>
      <c r="D19" t="inlineStr">
        <is>
          <t>Plan Monday's first problem</t>
        </is>
      </c>
    </row>
    <row r="20">
      <c r="A20" t="inlineStr">
        <is>
          <t>Sunday</t>
        </is>
      </c>
      <c r="B20" t="inlineStr">
        <is>
          <t>Rest</t>
        </is>
      </c>
      <c r="C20" t="inlineStr">
        <is>
          <t>Free</t>
        </is>
      </c>
      <c r="D20" t="inlineStr"/>
    </row>
    <row r="22">
      <c r="A22" s="24" t="inlineStr">
        <is>
          <t>Rules</t>
        </is>
      </c>
    </row>
    <row r="23">
      <c r="A23" t="inlineStr"/>
      <c r="B23" t="inlineStr"/>
      <c r="C23" s="25" t="inlineStr">
        <is>
          <t>3 LeetCode a day: 2 in the morning, 1 at night. 30 minutes max per problem; if stuck, read the solution, mark it ↻ revisit and re-solve it on Sunday.</t>
        </is>
      </c>
    </row>
    <row r="24">
      <c r="A24" t="inlineStr"/>
      <c r="B24" t="inlineStr"/>
      <c r="C24" s="25" t="inlineStr">
        <is>
          <t>Floor vs full: on a drained day switch to Easy day - 3 easy LeetCode + 1 km walk + water + clean food + the HLD read still counts.</t>
        </is>
      </c>
    </row>
    <row r="25">
      <c r="A25" t="inlineStr"/>
      <c r="B25" t="inlineStr"/>
      <c r="C25" s="25" t="inlineStr">
        <is>
          <t>One theme a day: the HLD read, the LLD code and the cloud lab explain the same idea from three angles.</t>
        </is>
      </c>
    </row>
    <row r="26">
      <c r="A26" t="inlineStr"/>
      <c r="B26" t="inlineStr"/>
      <c r="C26" s="25" t="inlineStr">
        <is>
          <t>One cloud at a time: AWS for days 1–50, Azure for 51–75, each mapped to the AWS service you already know.</t>
        </is>
      </c>
    </row>
    <row r="27">
      <c r="A27" t="inlineStr"/>
      <c r="B27" t="inlineStr"/>
      <c r="C27" s="25" t="inlineStr">
        <is>
          <t>Cloud labs: always delete resources afterwards and keep a billing alarm on.</t>
        </is>
      </c>
    </row>
    <row r="28">
      <c r="A28" t="inlineStr"/>
      <c r="B28" t="inlineStr"/>
      <c r="C28" s="25" t="inlineStr">
        <is>
          <t>Never double up to catch up: missed tasks go to the catch-up list and get done on Saturday or Sunday.</t>
        </is>
      </c>
    </row>
    <row r="29">
      <c r="A29" t="inlineStr"/>
      <c r="B29" t="inlineStr"/>
      <c r="C29" s="25" t="inlineStr">
        <is>
          <t>Checkpoints on days 25, 50 and 75 have pass criteria - if one fails, repeat its weak topic before moving on.</t>
        </is>
      </c>
    </row>
    <row r="30">
      <c r="A30" t="inlineStr">
        <is>
          <t>Easy day</t>
        </is>
      </c>
      <c r="B30" t="inlineStr"/>
      <c r="C30" t="inlineStr">
        <is>
          <t>3 LeetCode (the day's easiest, or Easy re-solves)  ·  Walk 1 km  ·  Water 2.5 L  ·  Clean food  ·  HLD read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2026-09-25T12:44:45Z</dcterms:created>
  <dcterms:modified xmlns:dcterms="http://purl.org/dc/terms/" xmlns:xsi="http://www.w3.org/2001/XMLSchema-instance" xsi:type="dcterms:W3CDTF">2026-09-25T12:44:46Z</dcterms:modified>
</cp:coreProperties>
</file>