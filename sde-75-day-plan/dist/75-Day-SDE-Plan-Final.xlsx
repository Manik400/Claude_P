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cker" sheetId="2" state="visible" r:id="rId2"/>
    <sheet xmlns:r="http://schemas.openxmlformats.org/officeDocument/2006/relationships" name="Plan" sheetId="3" state="visible" r:id="rId3"/>
    <sheet xmlns:r="http://schemas.openxmlformats.org/officeDocument/2006/relationships" name="LeetCode" sheetId="4" state="visible" r:id="rId4"/>
    <sheet xmlns:r="http://schemas.openxmlformats.org/officeDocument/2006/relationships" name="Q&amp;A" sheetId="5" state="visible" r:id="rId5"/>
    <sheet xmlns:r="http://schemas.openxmlformats.org/officeDocument/2006/relationships" name="Timetable" sheetId="6" state="visible" r:id="rId6"/>
  </sheets>
  <definedNames>
    <definedName name="_xlnm._FilterDatabase" localSheetId="1" hidden="1">'Tracker'!$A$1:$V$76</definedName>
    <definedName name="_xlnm._FilterDatabase" localSheetId="2" hidden="1">'Plan'!$A$1:$X$76</definedName>
    <definedName name="_xlnm._FilterDatabase" localSheetId="3" hidden="1">'LeetCode'!$A$1:$I$226</definedName>
    <definedName name="_xlnm._FilterDatabase" localSheetId="4" hidden="1">'Q&amp;A'!$A$1:$G$901</definedName>
  </definedNames>
  <calcPr calcId="124519" fullCalcOnLoad="1"/>
</workbook>
</file>

<file path=xl/styles.xml><?xml version="1.0" encoding="utf-8"?>
<styleSheet xmlns="http://schemas.openxmlformats.org/spreadsheetml/2006/main">
  <numFmts count="3">
    <numFmt numFmtId="164" formatCode="yyyy-mm-dd"/>
    <numFmt numFmtId="165" formatCode="ddd d mmm"/>
    <numFmt numFmtId="166" formatCode="d mmm"/>
  </numFmts>
  <fonts count="12">
    <font>
      <name val="Calibri"/>
      <family val="2"/>
      <color theme="1"/>
      <sz val="11"/>
      <scheme val="minor"/>
    </font>
    <font>
      <b val="1"/>
      <color rgb="00FFFFFF"/>
    </font>
    <font>
      <color rgb="001D4ED8"/>
      <u val="single"/>
    </font>
    <font>
      <b val="1"/>
      <color rgb="0015803D"/>
    </font>
    <font>
      <b val="1"/>
      <color rgb="00B45309"/>
    </font>
    <font>
      <b val="1"/>
      <color rgb="00B91C1C"/>
    </font>
    <font>
      <b val="1"/>
      <color rgb="006B6560"/>
    </font>
    <font>
      <b val="1"/>
      <color rgb="0015803D"/>
      <sz val="20"/>
    </font>
    <font>
      <i val="1"/>
      <color rgb="006B6560"/>
    </font>
    <font>
      <b val="1"/>
    </font>
    <font>
      <b val="1"/>
      <color rgb="0015803D"/>
      <sz val="13"/>
    </font>
    <font>
      <b val="1"/>
      <color rgb="0015803D"/>
      <sz val="12"/>
    </font>
  </fonts>
  <fills count="3">
    <fill>
      <patternFill/>
    </fill>
    <fill>
      <patternFill patternType="gray125"/>
    </fill>
    <fill>
      <patternFill patternType="solid">
        <fgColor rgb="0015803D"/>
      </patternFill>
    </fill>
  </fills>
  <borders count="2">
    <border>
      <left/>
      <right/>
      <top/>
      <bottom/>
      <diagonal/>
    </border>
    <border>
      <left style="thin">
        <color rgb="00E6E2DC"/>
      </left>
      <right style="thin">
        <color rgb="00E6E2DC"/>
      </right>
      <top style="thin">
        <color rgb="00E6E2DC"/>
      </top>
      <bottom style="thin">
        <color rgb="00E6E2DC"/>
      </bottom>
    </border>
  </borders>
  <cellStyleXfs count="1">
    <xf numFmtId="0" fontId="0" fillId="0" borderId="0"/>
  </cellStyleXfs>
  <cellXfs count="27">
    <xf numFmtId="0" fontId="0" fillId="0" borderId="0" pivotButton="0" quotePrefix="0" xfId="0"/>
    <xf numFmtId="0" fontId="7" fillId="0" borderId="0" pivotButton="0" quotePrefix="0" xfId="0"/>
    <xf numFmtId="0" fontId="8" fillId="0" borderId="0" pivotButton="0" quotePrefix="0" xfId="0"/>
    <xf numFmtId="0" fontId="9" fillId="0" borderId="0" pivotButton="0" quotePrefix="0" xfId="0"/>
    <xf numFmtId="9" fontId="10" fillId="0" borderId="0" applyAlignment="1" pivotButton="0" quotePrefix="0" xfId="0">
      <alignment horizontal="center" vertical="center"/>
    </xf>
    <xf numFmtId="1" fontId="10" fillId="0" borderId="0" applyAlignment="1" pivotButton="0" quotePrefix="0" xfId="0">
      <alignment horizontal="center" vertical="center"/>
    </xf>
    <xf numFmtId="0" fontId="1" fillId="2" borderId="0" pivotButton="0" quotePrefix="0" xfId="0"/>
    <xf numFmtId="9" fontId="0" fillId="0" borderId="0" pivotButton="0" quotePrefix="0" xfId="0"/>
    <xf numFmtId="0" fontId="1" fillId="2" borderId="1" applyAlignment="1" pivotButton="0" quotePrefix="0" xfId="0">
      <alignment horizontal="center" vertical="center" wrapText="1"/>
    </xf>
    <xf numFmtId="0" fontId="0" fillId="0" borderId="1" pivotButton="0" quotePrefix="0" xfId="0"/>
    <xf numFmtId="165" fontId="0" fillId="0" borderId="1" pivotButton="0" quotePrefix="0" xfId="0"/>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vertical="top" wrapText="1"/>
    </xf>
    <xf numFmtId="165" fontId="0" fillId="0"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166" fontId="0" fillId="0" borderId="1" pivotButton="0" quotePrefix="0" xfId="0"/>
    <xf numFmtId="0" fontId="2" fillId="0" borderId="1" pivotButton="0" quotePrefix="0" xfId="0"/>
    <xf numFmtId="0" fontId="4" fillId="0" borderId="1" pivotButton="0" quotePrefix="0" xfId="0"/>
    <xf numFmtId="0" fontId="5" fillId="0" borderId="1" pivotButton="0" quotePrefix="0" xfId="0"/>
    <xf numFmtId="166" fontId="0" fillId="0" borderId="1" applyAlignment="1" pivotButton="0" quotePrefix="0" xfId="0">
      <alignment vertical="top" wrapText="1"/>
    </xf>
    <xf numFmtId="0" fontId="11" fillId="0" borderId="0" pivotButton="0" quotePrefix="0" xfId="0"/>
    <xf numFmtId="0" fontId="0" fillId="0" borderId="0" applyAlignment="1" pivotButton="0" quotePrefix="0" xfId="0">
      <alignment vertical="top" wrapText="1"/>
    </xf>
  </cellXfs>
  <cellStyles count="1">
    <cellStyle name="Normal" xfId="0" builtinId="0" hidden="0"/>
  </cellStyles>
  <dxfs count="6">
    <dxf>
      <font>
        <b val="1"/>
        <color rgb="0015803D"/>
      </font>
      <fill>
        <patternFill patternType="solid">
          <fgColor rgb="00DCF3E4"/>
        </patternFill>
      </fill>
    </dxf>
    <dxf>
      <font>
        <b val="1"/>
        <color rgb="00B45309"/>
      </font>
      <fill>
        <patternFill patternType="solid">
          <fgColor rgb="00FDEBD3"/>
        </patternFill>
      </fill>
    </dxf>
    <dxf>
      <font>
        <b val="1"/>
        <color rgb="00B91C1C"/>
      </font>
      <fill>
        <patternFill patternType="solid">
          <fgColor rgb="00FBE0E0"/>
        </patternFill>
      </fill>
    </dxf>
    <dxf>
      <font>
        <b val="1"/>
        <color rgb="00FFFFFF"/>
      </font>
      <fill>
        <patternFill patternType="solid">
          <fgColor rgb="0015803D"/>
        </patternFill>
      </fill>
    </dxf>
    <dxf>
      <font>
        <b val="1"/>
        <color rgb="006B6560"/>
      </font>
      <fill>
        <patternFill patternType="solid">
          <fgColor rgb="00F0EEE9"/>
        </patternFill>
      </fill>
    </dxf>
    <dxf>
      <font>
        <b val="1"/>
      </font>
      <fill>
        <patternFill patternType="solid">
          <fgColor rgb="00E7F3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leetcode.com/problems/group-anagrams/" TargetMode="External" Id="rId1"/><Relationship Type="http://schemas.openxmlformats.org/officeDocument/2006/relationships/hyperlink" Target="https://leetcode.com/problems/top-k-frequent-elements/" TargetMode="External" Id="rId2"/><Relationship Type="http://schemas.openxmlformats.org/officeDocument/2006/relationships/hyperlink" Target="https://leetcode.com/problems/first-missing-positive/" TargetMode="External" Id="rId3"/><Relationship Type="http://schemas.openxmlformats.org/officeDocument/2006/relationships/hyperlink" Target="https://leetcode.com/problems/recyclable-and-low-fat-products/" TargetMode="External" Id="rId4"/><Relationship Type="http://schemas.openxmlformats.org/officeDocument/2006/relationships/hyperlink" Target="https://leetcode.com/problems/design-browser-history/" TargetMode="External" Id="rId5"/><Relationship Type="http://schemas.openxmlformats.org/officeDocument/2006/relationships/hyperlink" Target="https://leetcode.com/problems/product-of-array-except-self/" TargetMode="External" Id="rId6"/><Relationship Type="http://schemas.openxmlformats.org/officeDocument/2006/relationships/hyperlink" Target="https://leetcode.com/problems/longest-consecutive-sequence/" TargetMode="External" Id="rId7"/><Relationship Type="http://schemas.openxmlformats.org/officeDocument/2006/relationships/hyperlink" Target="https://leetcode.com/problems/insert-delete-getrandom-o1-duplicates-allowed/" TargetMode="External" Id="rId8"/><Relationship Type="http://schemas.openxmlformats.org/officeDocument/2006/relationships/hyperlink" Target="https://leetcode.com/problems/find-customer-referee/" TargetMode="External" Id="rId9"/><Relationship Type="http://schemas.openxmlformats.org/officeDocument/2006/relationships/hyperlink" Target="https://leetcode.com/problems/design-hashmap/" TargetMode="External" Id="rId10"/><Relationship Type="http://schemas.openxmlformats.org/officeDocument/2006/relationships/hyperlink" Target="https://leetcode.com/problems/valid-sudoku/" TargetMode="External" Id="rId11"/><Relationship Type="http://schemas.openxmlformats.org/officeDocument/2006/relationships/hyperlink" Target="https://leetcode.com/problems/majority-element-ii/" TargetMode="External" Id="rId12"/><Relationship Type="http://schemas.openxmlformats.org/officeDocument/2006/relationships/hyperlink" Target="https://leetcode.com/problems/count-of-smaller-numbers-after-self/" TargetMode="External" Id="rId13"/><Relationship Type="http://schemas.openxmlformats.org/officeDocument/2006/relationships/hyperlink" Target="https://leetcode.com/problems/big-countries/" TargetMode="External" Id="rId14"/><Relationship Type="http://schemas.openxmlformats.org/officeDocument/2006/relationships/hyperlink" Target="https://leetcode.com/problems/random-pick-with-weight/" TargetMode="External" Id="rId15"/><Relationship Type="http://schemas.openxmlformats.org/officeDocument/2006/relationships/hyperlink" Target="https://leetcode.com/problems/3sum/" TargetMode="External" Id="rId16"/><Relationship Type="http://schemas.openxmlformats.org/officeDocument/2006/relationships/hyperlink" Target="https://leetcode.com/problems/container-with-most-water/" TargetMode="External" Id="rId17"/><Relationship Type="http://schemas.openxmlformats.org/officeDocument/2006/relationships/hyperlink" Target="https://leetcode.com/problems/trapping-rain-water/" TargetMode="External" Id="rId18"/><Relationship Type="http://schemas.openxmlformats.org/officeDocument/2006/relationships/hyperlink" Target="https://leetcode.com/problems/combine-two-tables/" TargetMode="External" Id="rId19"/><Relationship Type="http://schemas.openxmlformats.org/officeDocument/2006/relationships/hyperlink" Target="https://leetcode.com/problems/design-authentication-manager/" TargetMode="External" Id="rId20"/><Relationship Type="http://schemas.openxmlformats.org/officeDocument/2006/relationships/hyperlink" Target="https://leetcode.com/problems/two-sum-ii-input-array-is-sorted/" TargetMode="External" Id="rId21"/><Relationship Type="http://schemas.openxmlformats.org/officeDocument/2006/relationships/hyperlink" Target="https://leetcode.com/problems/4sum/" TargetMode="External" Id="rId22"/><Relationship Type="http://schemas.openxmlformats.org/officeDocument/2006/relationships/hyperlink" Target="https://leetcode.com/problems/reverse-pairs/" TargetMode="External" Id="rId23"/><Relationship Type="http://schemas.openxmlformats.org/officeDocument/2006/relationships/hyperlink" Target="https://leetcode.com/problems/second-highest-salary/" TargetMode="External" Id="rId24"/><Relationship Type="http://schemas.openxmlformats.org/officeDocument/2006/relationships/hyperlink" Target="https://leetcode.com/problems/sort-colors/" TargetMode="External" Id="rId25"/><Relationship Type="http://schemas.openxmlformats.org/officeDocument/2006/relationships/hyperlink" Target="https://leetcode.com/problems/boats-to-save-people/" TargetMode="External" Id="rId26"/><Relationship Type="http://schemas.openxmlformats.org/officeDocument/2006/relationships/hyperlink" Target="https://leetcode.com/problems/maximum-score-of-a-good-subarray/" TargetMode="External" Id="rId27"/><Relationship Type="http://schemas.openxmlformats.org/officeDocument/2006/relationships/hyperlink" Target="https://leetcode.com/problems/employees-earning-more-than-their-managers/" TargetMode="External" Id="rId28"/><Relationship Type="http://schemas.openxmlformats.org/officeDocument/2006/relationships/hyperlink" Target="https://leetcode.com/problems/longest-substring-without-repeating-characters/" TargetMode="External" Id="rId29"/><Relationship Type="http://schemas.openxmlformats.org/officeDocument/2006/relationships/hyperlink" Target="https://leetcode.com/problems/longest-repeating-character-replacement/" TargetMode="External" Id="rId30"/><Relationship Type="http://schemas.openxmlformats.org/officeDocument/2006/relationships/hyperlink" Target="https://leetcode.com/problems/minimum-window-substring/" TargetMode="External" Id="rId31"/><Relationship Type="http://schemas.openxmlformats.org/officeDocument/2006/relationships/hyperlink" Target="https://leetcode.com/problems/permutation-in-string/" TargetMode="External" Id="rId32"/><Relationship Type="http://schemas.openxmlformats.org/officeDocument/2006/relationships/hyperlink" Target="https://leetcode.com/problems/fruit-into-baskets/" TargetMode="External" Id="rId33"/><Relationship Type="http://schemas.openxmlformats.org/officeDocument/2006/relationships/hyperlink" Target="https://leetcode.com/problems/sliding-window-maximum/" TargetMode="External" Id="rId34"/><Relationship Type="http://schemas.openxmlformats.org/officeDocument/2006/relationships/hyperlink" Target="https://leetcode.com/problems/duplicate-emails/" TargetMode="External" Id="rId35"/><Relationship Type="http://schemas.openxmlformats.org/officeDocument/2006/relationships/hyperlink" Target="https://leetcode.com/problems/design-hashset/" TargetMode="External" Id="rId36"/><Relationship Type="http://schemas.openxmlformats.org/officeDocument/2006/relationships/hyperlink" Target="https://leetcode.com/problems/max-consecutive-ones-iii/" TargetMode="External" Id="rId37"/><Relationship Type="http://schemas.openxmlformats.org/officeDocument/2006/relationships/hyperlink" Target="https://leetcode.com/problems/minimum-size-subarray-sum/" TargetMode="External" Id="rId38"/><Relationship Type="http://schemas.openxmlformats.org/officeDocument/2006/relationships/hyperlink" Target="https://leetcode.com/problems/substring-with-concatenation-of-all-words/" TargetMode="External" Id="rId39"/><Relationship Type="http://schemas.openxmlformats.org/officeDocument/2006/relationships/hyperlink" Target="https://leetcode.com/problems/customers-who-never-order/" TargetMode="External" Id="rId40"/><Relationship Type="http://schemas.openxmlformats.org/officeDocument/2006/relationships/hyperlink" Target="https://leetcode.com/problems/design-a-number-container-system/" TargetMode="External" Id="rId41"/><Relationship Type="http://schemas.openxmlformats.org/officeDocument/2006/relationships/hyperlink" Target="https://leetcode.com/problems/min-stack/" TargetMode="External" Id="rId42"/><Relationship Type="http://schemas.openxmlformats.org/officeDocument/2006/relationships/hyperlink" Target="https://leetcode.com/problems/evaluate-reverse-polish-notation/" TargetMode="External" Id="rId43"/><Relationship Type="http://schemas.openxmlformats.org/officeDocument/2006/relationships/hyperlink" Target="https://leetcode.com/problems/basic-calculator/" TargetMode="External" Id="rId44"/><Relationship Type="http://schemas.openxmlformats.org/officeDocument/2006/relationships/hyperlink" Target="https://leetcode.com/problems/nth-highest-salary/" TargetMode="External" Id="rId45"/><Relationship Type="http://schemas.openxmlformats.org/officeDocument/2006/relationships/hyperlink" Target="https://leetcode.com/problems/snapshot-array/" TargetMode="External" Id="rId46"/><Relationship Type="http://schemas.openxmlformats.org/officeDocument/2006/relationships/hyperlink" Target="https://leetcode.com/problems/daily-temperatures/" TargetMode="External" Id="rId47"/><Relationship Type="http://schemas.openxmlformats.org/officeDocument/2006/relationships/hyperlink" Target="https://leetcode.com/problems/car-fleet/" TargetMode="External" Id="rId48"/><Relationship Type="http://schemas.openxmlformats.org/officeDocument/2006/relationships/hyperlink" Target="https://leetcode.com/problems/largest-rectangle-in-histogram/" TargetMode="External" Id="rId49"/><Relationship Type="http://schemas.openxmlformats.org/officeDocument/2006/relationships/hyperlink" Target="https://leetcode.com/problems/replace-employee-id-with-the-unique-identifier/" TargetMode="External" Id="rId50"/><Relationship Type="http://schemas.openxmlformats.org/officeDocument/2006/relationships/hyperlink" Target="https://leetcode.com/problems/decode-string/" TargetMode="External" Id="rId51"/><Relationship Type="http://schemas.openxmlformats.org/officeDocument/2006/relationships/hyperlink" Target="https://leetcode.com/problems/asteroid-collision/" TargetMode="External" Id="rId52"/><Relationship Type="http://schemas.openxmlformats.org/officeDocument/2006/relationships/hyperlink" Target="https://leetcode.com/problems/longest-valid-parentheses/" TargetMode="External" Id="rId53"/><Relationship Type="http://schemas.openxmlformats.org/officeDocument/2006/relationships/hyperlink" Target="https://leetcode.com/problems/rank-scores/" TargetMode="External" Id="rId54"/><Relationship Type="http://schemas.openxmlformats.org/officeDocument/2006/relationships/hyperlink" Target="https://leetcode.com/problems/design-an-atm-machine/" TargetMode="External" Id="rId55"/><Relationship Type="http://schemas.openxmlformats.org/officeDocument/2006/relationships/hyperlink" Target="https://leetcode.com/problems/online-stock-span/" TargetMode="External" Id="rId56"/><Relationship Type="http://schemas.openxmlformats.org/officeDocument/2006/relationships/hyperlink" Target="https://leetcode.com/problems/remove-k-digits/" TargetMode="External" Id="rId57"/><Relationship Type="http://schemas.openxmlformats.org/officeDocument/2006/relationships/hyperlink" Target="https://leetcode.com/problems/maximal-rectangle/" TargetMode="External" Id="rId58"/><Relationship Type="http://schemas.openxmlformats.org/officeDocument/2006/relationships/hyperlink" Target="https://leetcode.com/problems/customer-who-visited-but-did-not-make-any-transactions/" TargetMode="External" Id="rId59"/><Relationship Type="http://schemas.openxmlformats.org/officeDocument/2006/relationships/hyperlink" Target="https://leetcode.com/problems/seat-reservation-manager/" TargetMode="External" Id="rId60"/><Relationship Type="http://schemas.openxmlformats.org/officeDocument/2006/relationships/hyperlink" Target="https://leetcode.com/problems/search-a-2d-matrix/" TargetMode="External" Id="rId61"/><Relationship Type="http://schemas.openxmlformats.org/officeDocument/2006/relationships/hyperlink" Target="https://leetcode.com/problems/koko-eating-bananas/" TargetMode="External" Id="rId62"/><Relationship Type="http://schemas.openxmlformats.org/officeDocument/2006/relationships/hyperlink" Target="https://leetcode.com/problems/median-of-two-sorted-arrays/" TargetMode="External" Id="rId63"/><Relationship Type="http://schemas.openxmlformats.org/officeDocument/2006/relationships/hyperlink" Target="https://leetcode.com/problems/lru-cache/" TargetMode="External" Id="rId64"/><Relationship Type="http://schemas.openxmlformats.org/officeDocument/2006/relationships/hyperlink" Target="https://leetcode.com/problems/reorder-list/" TargetMode="External" Id="rId65"/><Relationship Type="http://schemas.openxmlformats.org/officeDocument/2006/relationships/hyperlink" Target="https://leetcode.com/problems/reverse-nodes-in-k-group/" TargetMode="External" Id="rId66"/><Relationship Type="http://schemas.openxmlformats.org/officeDocument/2006/relationships/hyperlink" Target="https://leetcode.com/problems/rising-temperature/" TargetMode="External" Id="rId67"/><Relationship Type="http://schemas.openxmlformats.org/officeDocument/2006/relationships/hyperlink" Target="https://leetcode.com/problems/lru-cache/" TargetMode="External" Id="rId68"/><Relationship Type="http://schemas.openxmlformats.org/officeDocument/2006/relationships/hyperlink" Target="https://leetcode.com/problems/remove-nth-node-from-end-of-list/" TargetMode="External" Id="rId69"/><Relationship Type="http://schemas.openxmlformats.org/officeDocument/2006/relationships/hyperlink" Target="https://leetcode.com/problems/copy-list-with-random-pointer/" TargetMode="External" Id="rId70"/><Relationship Type="http://schemas.openxmlformats.org/officeDocument/2006/relationships/hyperlink" Target="https://leetcode.com/problems/merge-k-sorted-lists/" TargetMode="External" Id="rId71"/><Relationship Type="http://schemas.openxmlformats.org/officeDocument/2006/relationships/hyperlink" Target="https://leetcode.com/problems/department-highest-salary/" TargetMode="External" Id="rId72"/><Relationship Type="http://schemas.openxmlformats.org/officeDocument/2006/relationships/hyperlink" Target="https://leetcode.com/problems/time-based-key-value-store/" TargetMode="External" Id="rId73"/><Relationship Type="http://schemas.openxmlformats.org/officeDocument/2006/relationships/hyperlink" Target="https://leetcode.com/problems/add-two-numbers/" TargetMode="External" Id="rId74"/><Relationship Type="http://schemas.openxmlformats.org/officeDocument/2006/relationships/hyperlink" Target="https://leetcode.com/problems/find-the-duplicate-number/" TargetMode="External" Id="rId75"/><Relationship Type="http://schemas.openxmlformats.org/officeDocument/2006/relationships/hyperlink" Target="https://leetcode.com/problems/lfu-cache/" TargetMode="External" Id="rId76"/><Relationship Type="http://schemas.openxmlformats.org/officeDocument/2006/relationships/hyperlink" Target="https://leetcode.com/problems/average-time-of-process-per-machine/" TargetMode="External" Id="rId77"/><Relationship Type="http://schemas.openxmlformats.org/officeDocument/2006/relationships/hyperlink" Target="https://leetcode.com/problems/search-in-rotated-sorted-array/" TargetMode="External" Id="rId78"/><Relationship Type="http://schemas.openxmlformats.org/officeDocument/2006/relationships/hyperlink" Target="https://leetcode.com/problems/find-minimum-in-rotated-sorted-array/" TargetMode="External" Id="rId79"/><Relationship Type="http://schemas.openxmlformats.org/officeDocument/2006/relationships/hyperlink" Target="https://leetcode.com/problems/find-minimum-in-rotated-sorted-array-ii/" TargetMode="External" Id="rId80"/><Relationship Type="http://schemas.openxmlformats.org/officeDocument/2006/relationships/hyperlink" Target="https://leetcode.com/problems/employee-bonus/" TargetMode="External" Id="rId81"/><Relationship Type="http://schemas.openxmlformats.org/officeDocument/2006/relationships/hyperlink" Target="https://leetcode.com/problems/stock-price-fluctuation/" TargetMode="External" Id="rId82"/><Relationship Type="http://schemas.openxmlformats.org/officeDocument/2006/relationships/hyperlink" Target="https://leetcode.com/problems/time-based-key-value-store/" TargetMode="External" Id="rId83"/><Relationship Type="http://schemas.openxmlformats.org/officeDocument/2006/relationships/hyperlink" Target="https://leetcode.com/problems/find-first-and-last-position-of-element-in-sorted-array/" TargetMode="External" Id="rId84"/><Relationship Type="http://schemas.openxmlformats.org/officeDocument/2006/relationships/hyperlink" Target="https://leetcode.com/problems/split-array-largest-sum/" TargetMode="External" Id="rId85"/><Relationship Type="http://schemas.openxmlformats.org/officeDocument/2006/relationships/hyperlink" Target="https://leetcode.com/problems/consecutive-numbers/" TargetMode="External" Id="rId86"/><Relationship Type="http://schemas.openxmlformats.org/officeDocument/2006/relationships/hyperlink" Target="https://leetcode.com/problems/number-of-recent-calls/" TargetMode="External" Id="rId87"/><Relationship Type="http://schemas.openxmlformats.org/officeDocument/2006/relationships/hyperlink" Target="https://leetcode.com/problems/rotate-list/" TargetMode="External" Id="rId88"/><Relationship Type="http://schemas.openxmlformats.org/officeDocument/2006/relationships/hyperlink" Target="https://leetcode.com/problems/sort-list/" TargetMode="External" Id="rId89"/><Relationship Type="http://schemas.openxmlformats.org/officeDocument/2006/relationships/hyperlink" Target="https://leetcode.com/problems/design-skiplist/" TargetMode="External" Id="rId90"/><Relationship Type="http://schemas.openxmlformats.org/officeDocument/2006/relationships/hyperlink" Target="https://leetcode.com/problems/students-and-examinations/" TargetMode="External" Id="rId91"/><Relationship Type="http://schemas.openxmlformats.org/officeDocument/2006/relationships/hyperlink" Target="https://leetcode.com/problems/tweet-counts-per-frequency/" TargetMode="External" Id="rId92"/><Relationship Type="http://schemas.openxmlformats.org/officeDocument/2006/relationships/hyperlink" Target="https://leetcode.com/problems/reverse-linked-list-ii/" TargetMode="External" Id="rId93"/><Relationship Type="http://schemas.openxmlformats.org/officeDocument/2006/relationships/hyperlink" Target="https://leetcode.com/problems/swap-nodes-in-pairs/" TargetMode="External" Id="rId94"/><Relationship Type="http://schemas.openxmlformats.org/officeDocument/2006/relationships/hyperlink" Target="https://leetcode.com/problems/all-oone-data-structure/" TargetMode="External" Id="rId95"/><Relationship Type="http://schemas.openxmlformats.org/officeDocument/2006/relationships/hyperlink" Target="https://leetcode.com/problems/subarray-sum-equals-k/" TargetMode="External" Id="rId96"/><Relationship Type="http://schemas.openxmlformats.org/officeDocument/2006/relationships/hyperlink" Target="https://leetcode.com/problems/contiguous-array/" TargetMode="External" Id="rId97"/><Relationship Type="http://schemas.openxmlformats.org/officeDocument/2006/relationships/hyperlink" Target="https://leetcode.com/problems/shortest-subarray-with-sum-at-least-k/" TargetMode="External" Id="rId98"/><Relationship Type="http://schemas.openxmlformats.org/officeDocument/2006/relationships/hyperlink" Target="https://leetcode.com/problems/managers-with-at-least-5-direct-reports/" TargetMode="External" Id="rId99"/><Relationship Type="http://schemas.openxmlformats.org/officeDocument/2006/relationships/hyperlink" Target="https://leetcode.com/problems/design-circular-queue/" TargetMode="External" Id="rId100"/><Relationship Type="http://schemas.openxmlformats.org/officeDocument/2006/relationships/hyperlink" Target="https://leetcode.com/problems/subarray-sums-divisible-by-k/" TargetMode="External" Id="rId101"/><Relationship Type="http://schemas.openxmlformats.org/officeDocument/2006/relationships/hyperlink" Target="https://leetcode.com/problems/continuous-subarray-sum/" TargetMode="External" Id="rId102"/><Relationship Type="http://schemas.openxmlformats.org/officeDocument/2006/relationships/hyperlink" Target="https://leetcode.com/problems/number-of-submatrices-that-sum-to-target/" TargetMode="External" Id="rId103"/><Relationship Type="http://schemas.openxmlformats.org/officeDocument/2006/relationships/hyperlink" Target="https://leetcode.com/problems/confirmation-rate/" TargetMode="External" Id="rId104"/><Relationship Type="http://schemas.openxmlformats.org/officeDocument/2006/relationships/hyperlink" Target="https://leetcode.com/problems/design-twitter/" TargetMode="External" Id="rId105"/><Relationship Type="http://schemas.openxmlformats.org/officeDocument/2006/relationships/hyperlink" Target="https://leetcode.com/problems/capacity-to-ship-packages-within-d-days/" TargetMode="External" Id="rId106"/><Relationship Type="http://schemas.openxmlformats.org/officeDocument/2006/relationships/hyperlink" Target="https://leetcode.com/problems/find-peak-element/" TargetMode="External" Id="rId107"/><Relationship Type="http://schemas.openxmlformats.org/officeDocument/2006/relationships/hyperlink" Target="https://leetcode.com/problems/find-k-th-smallest-pair-distance/" TargetMode="External" Id="rId108"/><Relationship Type="http://schemas.openxmlformats.org/officeDocument/2006/relationships/hyperlink" Target="https://leetcode.com/problems/not-boring-movies/" TargetMode="External" Id="rId109"/><Relationship Type="http://schemas.openxmlformats.org/officeDocument/2006/relationships/hyperlink" Target="https://leetcode.com/problems/rotate-image/" TargetMode="External" Id="rId110"/><Relationship Type="http://schemas.openxmlformats.org/officeDocument/2006/relationships/hyperlink" Target="https://leetcode.com/problems/spiral-matrix/" TargetMode="External" Id="rId111"/><Relationship Type="http://schemas.openxmlformats.org/officeDocument/2006/relationships/hyperlink" Target="https://leetcode.com/problems/count-of-range-sum/" TargetMode="External" Id="rId112"/><Relationship Type="http://schemas.openxmlformats.org/officeDocument/2006/relationships/hyperlink" Target="https://leetcode.com/problems/average-selling-price/" TargetMode="External" Id="rId113"/><Relationship Type="http://schemas.openxmlformats.org/officeDocument/2006/relationships/hyperlink" Target="https://leetcode.com/problems/binary-tree-level-order-traversal/" TargetMode="External" Id="rId114"/><Relationship Type="http://schemas.openxmlformats.org/officeDocument/2006/relationships/hyperlink" Target="https://leetcode.com/problems/validate-binary-search-tree/" TargetMode="External" Id="rId115"/><Relationship Type="http://schemas.openxmlformats.org/officeDocument/2006/relationships/hyperlink" Target="https://leetcode.com/problems/binary-tree-maximum-path-sum/" TargetMode="External" Id="rId116"/><Relationship Type="http://schemas.openxmlformats.org/officeDocument/2006/relationships/hyperlink" Target="https://leetcode.com/problems/monthly-transactions-i/" TargetMode="External" Id="rId117"/><Relationship Type="http://schemas.openxmlformats.org/officeDocument/2006/relationships/hyperlink" Target="https://leetcode.com/problems/design-an-ordered-stream/" TargetMode="External" Id="rId118"/><Relationship Type="http://schemas.openxmlformats.org/officeDocument/2006/relationships/hyperlink" Target="https://leetcode.com/problems/construct-binary-tree-from-preorder-and-inorder-traversal/" TargetMode="External" Id="rId119"/><Relationship Type="http://schemas.openxmlformats.org/officeDocument/2006/relationships/hyperlink" Target="https://leetcode.com/problems/lowest-common-ancestor-of-a-binary-tree/" TargetMode="External" Id="rId120"/><Relationship Type="http://schemas.openxmlformats.org/officeDocument/2006/relationships/hyperlink" Target="https://leetcode.com/problems/serialize-and-deserialize-binary-tree/" TargetMode="External" Id="rId121"/><Relationship Type="http://schemas.openxmlformats.org/officeDocument/2006/relationships/hyperlink" Target="https://leetcode.com/problems/project-employees-i/" TargetMode="External" Id="rId122"/><Relationship Type="http://schemas.openxmlformats.org/officeDocument/2006/relationships/hyperlink" Target="https://leetcode.com/problems/design-circular-deque/" TargetMode="External" Id="rId123"/><Relationship Type="http://schemas.openxmlformats.org/officeDocument/2006/relationships/hyperlink" Target="https://leetcode.com/problems/binary-tree-right-side-view/" TargetMode="External" Id="rId124"/><Relationship Type="http://schemas.openxmlformats.org/officeDocument/2006/relationships/hyperlink" Target="https://leetcode.com/problems/kth-smallest-element-in-a-bst/" TargetMode="External" Id="rId125"/><Relationship Type="http://schemas.openxmlformats.org/officeDocument/2006/relationships/hyperlink" Target="https://leetcode.com/problems/binary-tree-cameras/" TargetMode="External" Id="rId126"/><Relationship Type="http://schemas.openxmlformats.org/officeDocument/2006/relationships/hyperlink" Target="https://leetcode.com/problems/count-good-nodes-in-binary-tree/" TargetMode="External" Id="rId127"/><Relationship Type="http://schemas.openxmlformats.org/officeDocument/2006/relationships/hyperlink" Target="https://leetcode.com/problems/path-sum-ii/" TargetMode="External" Id="rId128"/><Relationship Type="http://schemas.openxmlformats.org/officeDocument/2006/relationships/hyperlink" Target="https://leetcode.com/problems/vertical-order-traversal-of-a-binary-tree/" TargetMode="External" Id="rId129"/><Relationship Type="http://schemas.openxmlformats.org/officeDocument/2006/relationships/hyperlink" Target="https://leetcode.com/problems/immediate-food-delivery-ii/" TargetMode="External" Id="rId130"/><Relationship Type="http://schemas.openxmlformats.org/officeDocument/2006/relationships/hyperlink" Target="https://leetcode.com/problems/flatten-binary-tree-to-linked-list/" TargetMode="External" Id="rId131"/><Relationship Type="http://schemas.openxmlformats.org/officeDocument/2006/relationships/hyperlink" Target="https://leetcode.com/problems/populating-next-right-pointers-in-each-node/" TargetMode="External" Id="rId132"/><Relationship Type="http://schemas.openxmlformats.org/officeDocument/2006/relationships/hyperlink" Target="https://leetcode.com/problems/recover-a-tree-from-preorder-traversal/" TargetMode="External" Id="rId133"/><Relationship Type="http://schemas.openxmlformats.org/officeDocument/2006/relationships/hyperlink" Target="https://leetcode.com/problems/percentage-of-users-attended-a-contest/" TargetMode="External" Id="rId134"/><Relationship Type="http://schemas.openxmlformats.org/officeDocument/2006/relationships/hyperlink" Target="https://leetcode.com/problems/design-underground-system/" TargetMode="External" Id="rId135"/><Relationship Type="http://schemas.openxmlformats.org/officeDocument/2006/relationships/hyperlink" Target="https://leetcode.com/problems/delete-node-in-a-bst/" TargetMode="External" Id="rId136"/><Relationship Type="http://schemas.openxmlformats.org/officeDocument/2006/relationships/hyperlink" Target="https://leetcode.com/problems/all-nodes-distance-k-in-binary-tree/" TargetMode="External" Id="rId137"/><Relationship Type="http://schemas.openxmlformats.org/officeDocument/2006/relationships/hyperlink" Target="https://leetcode.com/problems/sum-of-distances-in-tree/" TargetMode="External" Id="rId138"/><Relationship Type="http://schemas.openxmlformats.org/officeDocument/2006/relationships/hyperlink" Target="https://leetcode.com/problems/game-play-analysis-iv/" TargetMode="External" Id="rId139"/><Relationship Type="http://schemas.openxmlformats.org/officeDocument/2006/relationships/hyperlink" Target="https://leetcode.com/problems/path-sum-iii/" TargetMode="External" Id="rId140"/><Relationship Type="http://schemas.openxmlformats.org/officeDocument/2006/relationships/hyperlink" Target="https://leetcode.com/problems/maximum-width-of-binary-tree/" TargetMode="External" Id="rId141"/><Relationship Type="http://schemas.openxmlformats.org/officeDocument/2006/relationships/hyperlink" Target="https://leetcode.com/problems/maximum-sum-bst-in-binary-tree/" TargetMode="External" Id="rId142"/><Relationship Type="http://schemas.openxmlformats.org/officeDocument/2006/relationships/hyperlink" Target="https://leetcode.com/problems/queries-quality-and-percentage/" TargetMode="External" Id="rId143"/><Relationship Type="http://schemas.openxmlformats.org/officeDocument/2006/relationships/hyperlink" Target="https://leetcode.com/problems/binary-tree-zigzag-level-order-traversal/" TargetMode="External" Id="rId144"/><Relationship Type="http://schemas.openxmlformats.org/officeDocument/2006/relationships/hyperlink" Target="https://leetcode.com/problems/lowest-common-ancestor-of-a-binary-search-tree/" TargetMode="External" Id="rId145"/><Relationship Type="http://schemas.openxmlformats.org/officeDocument/2006/relationships/hyperlink" Target="https://leetcode.com/problems/kth-ancestor-of-a-tree-node/" TargetMode="External" Id="rId146"/><Relationship Type="http://schemas.openxmlformats.org/officeDocument/2006/relationships/hyperlink" Target="https://leetcode.com/problems/number-of-unique-subjects-taught-by-each-teacher/" TargetMode="External" Id="rId147"/><Relationship Type="http://schemas.openxmlformats.org/officeDocument/2006/relationships/hyperlink" Target="https://leetcode.com/problems/unique-binary-search-trees-ii/" TargetMode="External" Id="rId148"/><Relationship Type="http://schemas.openxmlformats.org/officeDocument/2006/relationships/hyperlink" Target="https://leetcode.com/problems/sum-root-to-leaf-numbers/" TargetMode="External" Id="rId149"/><Relationship Type="http://schemas.openxmlformats.org/officeDocument/2006/relationships/hyperlink" Target="https://leetcode.com/problems/longest-path-with-different-adjacent-characters/" TargetMode="External" Id="rId150"/><Relationship Type="http://schemas.openxmlformats.org/officeDocument/2006/relationships/hyperlink" Target="https://leetcode.com/problems/product-sales-analysis-iii/" TargetMode="External" Id="rId151"/><Relationship Type="http://schemas.openxmlformats.org/officeDocument/2006/relationships/hyperlink" Target="https://leetcode.com/problems/encode-and-decode-tinyurl/" TargetMode="External" Id="rId152"/><Relationship Type="http://schemas.openxmlformats.org/officeDocument/2006/relationships/hyperlink" Target="https://leetcode.com/problems/kth-largest-element-in-an-array/" TargetMode="External" Id="rId153"/><Relationship Type="http://schemas.openxmlformats.org/officeDocument/2006/relationships/hyperlink" Target="https://leetcode.com/problems/k-closest-points-to-origin/" TargetMode="External" Id="rId154"/><Relationship Type="http://schemas.openxmlformats.org/officeDocument/2006/relationships/hyperlink" Target="https://leetcode.com/problems/find-median-from-data-stream/" TargetMode="External" Id="rId155"/><Relationship Type="http://schemas.openxmlformats.org/officeDocument/2006/relationships/hyperlink" Target="https://leetcode.com/problems/task-scheduler/" TargetMode="External" Id="rId156"/><Relationship Type="http://schemas.openxmlformats.org/officeDocument/2006/relationships/hyperlink" Target="https://leetcode.com/problems/design-twitter/" TargetMode="External" Id="rId157"/><Relationship Type="http://schemas.openxmlformats.org/officeDocument/2006/relationships/hyperlink" Target="https://leetcode.com/problems/ipo/" TargetMode="External" Id="rId158"/><Relationship Type="http://schemas.openxmlformats.org/officeDocument/2006/relationships/hyperlink" Target="https://leetcode.com/problems/classes-with-at-least-5-students/" TargetMode="External" Id="rId159"/><Relationship Type="http://schemas.openxmlformats.org/officeDocument/2006/relationships/hyperlink" Target="https://leetcode.com/problems/single-threaded-cpu/" TargetMode="External" Id="rId160"/><Relationship Type="http://schemas.openxmlformats.org/officeDocument/2006/relationships/hyperlink" Target="https://leetcode.com/problems/reorganize-string/" TargetMode="External" Id="rId161"/><Relationship Type="http://schemas.openxmlformats.org/officeDocument/2006/relationships/hyperlink" Target="https://leetcode.com/problems/top-k-frequent-words/" TargetMode="External" Id="rId162"/><Relationship Type="http://schemas.openxmlformats.org/officeDocument/2006/relationships/hyperlink" Target="https://leetcode.com/problems/sliding-window-median/" TargetMode="External" Id="rId163"/><Relationship Type="http://schemas.openxmlformats.org/officeDocument/2006/relationships/hyperlink" Target="https://leetcode.com/problems/customers-who-bought-all-products/" TargetMode="External" Id="rId164"/><Relationship Type="http://schemas.openxmlformats.org/officeDocument/2006/relationships/hyperlink" Target="https://leetcode.com/problems/number-of-islands/" TargetMode="External" Id="rId165"/><Relationship Type="http://schemas.openxmlformats.org/officeDocument/2006/relationships/hyperlink" Target="https://leetcode.com/problems/clone-graph/" TargetMode="External" Id="rId166"/><Relationship Type="http://schemas.openxmlformats.org/officeDocument/2006/relationships/hyperlink" Target="https://leetcode.com/problems/word-ladder/" TargetMode="External" Id="rId167"/><Relationship Type="http://schemas.openxmlformats.org/officeDocument/2006/relationships/hyperlink" Target="https://leetcode.com/problems/find-followers-count/" TargetMode="External" Id="rId168"/><Relationship Type="http://schemas.openxmlformats.org/officeDocument/2006/relationships/hyperlink" Target="https://leetcode.com/problems/operations-on-tree/" TargetMode="External" Id="rId169"/><Relationship Type="http://schemas.openxmlformats.org/officeDocument/2006/relationships/hyperlink" Target="https://leetcode.com/problems/rotting-oranges/" TargetMode="External" Id="rId170"/><Relationship Type="http://schemas.openxmlformats.org/officeDocument/2006/relationships/hyperlink" Target="https://leetcode.com/problems/pacific-atlantic-water-flow/" TargetMode="External" Id="rId171"/><Relationship Type="http://schemas.openxmlformats.org/officeDocument/2006/relationships/hyperlink" Target="https://leetcode.com/problems/shortest-path-in-a-grid-with-obstacles-elimination/" TargetMode="External" Id="rId172"/><Relationship Type="http://schemas.openxmlformats.org/officeDocument/2006/relationships/hyperlink" Target="https://leetcode.com/problems/biggest-single-number/" TargetMode="External" Id="rId173"/><Relationship Type="http://schemas.openxmlformats.org/officeDocument/2006/relationships/hyperlink" Target="https://leetcode.com/problems/course-schedule/" TargetMode="External" Id="rId174"/><Relationship Type="http://schemas.openxmlformats.org/officeDocument/2006/relationships/hyperlink" Target="https://leetcode.com/problems/course-schedule-ii/" TargetMode="External" Id="rId175"/><Relationship Type="http://schemas.openxmlformats.org/officeDocument/2006/relationships/hyperlink" Target="https://leetcode.com/problems/critical-connections-in-a-network/" TargetMode="External" Id="rId176"/><Relationship Type="http://schemas.openxmlformats.org/officeDocument/2006/relationships/hyperlink" Target="https://leetcode.com/problems/product-price-at-a-given-date/" TargetMode="External" Id="rId177"/><Relationship Type="http://schemas.openxmlformats.org/officeDocument/2006/relationships/hyperlink" Target="https://leetcode.com/problems/redundant-connection/" TargetMode="External" Id="rId178"/><Relationship Type="http://schemas.openxmlformats.org/officeDocument/2006/relationships/hyperlink" Target="https://leetcode.com/problems/number-of-provinces/" TargetMode="External" Id="rId179"/><Relationship Type="http://schemas.openxmlformats.org/officeDocument/2006/relationships/hyperlink" Target="https://leetcode.com/problems/redundant-connection-ii/" TargetMode="External" Id="rId180"/><Relationship Type="http://schemas.openxmlformats.org/officeDocument/2006/relationships/hyperlink" Target="https://leetcode.com/problems/the-number-of-employees-which-report-to-each-employee/" TargetMode="External" Id="rId181"/><Relationship Type="http://schemas.openxmlformats.org/officeDocument/2006/relationships/hyperlink" Target="https://leetcode.com/problems/design-parking-system/" TargetMode="External" Id="rId182"/><Relationship Type="http://schemas.openxmlformats.org/officeDocument/2006/relationships/hyperlink" Target="https://leetcode.com/problems/surrounded-regions/" TargetMode="External" Id="rId183"/><Relationship Type="http://schemas.openxmlformats.org/officeDocument/2006/relationships/hyperlink" Target="https://leetcode.com/problems/open-the-lock/" TargetMode="External" Id="rId184"/><Relationship Type="http://schemas.openxmlformats.org/officeDocument/2006/relationships/hyperlink" Target="https://leetcode.com/problems/bus-routes/" TargetMode="External" Id="rId185"/><Relationship Type="http://schemas.openxmlformats.org/officeDocument/2006/relationships/hyperlink" Target="https://leetcode.com/problems/implement-trie-prefix-tree/" TargetMode="External" Id="rId186"/><Relationship Type="http://schemas.openxmlformats.org/officeDocument/2006/relationships/hyperlink" Target="https://leetcode.com/problems/design-add-and-search-words-data-structure/" TargetMode="External" Id="rId187"/><Relationship Type="http://schemas.openxmlformats.org/officeDocument/2006/relationships/hyperlink" Target="https://leetcode.com/problems/word-search-ii/" TargetMode="External" Id="rId188"/><Relationship Type="http://schemas.openxmlformats.org/officeDocument/2006/relationships/hyperlink" Target="https://leetcode.com/problems/last-person-to-fit-in-the-bus/" TargetMode="External" Id="rId189"/><Relationship Type="http://schemas.openxmlformats.org/officeDocument/2006/relationships/hyperlink" Target="https://leetcode.com/problems/map-sum-pairs/" TargetMode="External" Id="rId190"/><Relationship Type="http://schemas.openxmlformats.org/officeDocument/2006/relationships/hyperlink" Target="https://leetcode.com/problems/search-suggestions-system/" TargetMode="External" Id="rId191"/><Relationship Type="http://schemas.openxmlformats.org/officeDocument/2006/relationships/hyperlink" Target="https://leetcode.com/problems/replace-words/" TargetMode="External" Id="rId192"/><Relationship Type="http://schemas.openxmlformats.org/officeDocument/2006/relationships/hyperlink" Target="https://leetcode.com/problems/palindrome-pairs/" TargetMode="External" Id="rId193"/><Relationship Type="http://schemas.openxmlformats.org/officeDocument/2006/relationships/hyperlink" Target="https://leetcode.com/problems/primary-department-for-each-employee/" TargetMode="External" Id="rId194"/><Relationship Type="http://schemas.openxmlformats.org/officeDocument/2006/relationships/hyperlink" Target="https://leetcode.com/problems/binary-search-tree-iterator/" TargetMode="External" Id="rId195"/><Relationship Type="http://schemas.openxmlformats.org/officeDocument/2006/relationships/hyperlink" Target="https://leetcode.com/problems/merge-intervals/" TargetMode="External" Id="rId196"/><Relationship Type="http://schemas.openxmlformats.org/officeDocument/2006/relationships/hyperlink" Target="https://leetcode.com/problems/insert-interval/" TargetMode="External" Id="rId197"/><Relationship Type="http://schemas.openxmlformats.org/officeDocument/2006/relationships/hyperlink" Target="https://leetcode.com/problems/the-skyline-problem/" TargetMode="External" Id="rId198"/><Relationship Type="http://schemas.openxmlformats.org/officeDocument/2006/relationships/hyperlink" Target="https://leetcode.com/problems/count-salary-categories/" TargetMode="External" Id="rId199"/><Relationship Type="http://schemas.openxmlformats.org/officeDocument/2006/relationships/hyperlink" Target="https://leetcode.com/problems/non-overlapping-intervals/" TargetMode="External" Id="rId200"/><Relationship Type="http://schemas.openxmlformats.org/officeDocument/2006/relationships/hyperlink" Target="https://leetcode.com/problems/minimum-number-of-arrows-to-burst-balloons/" TargetMode="External" Id="rId201"/><Relationship Type="http://schemas.openxmlformats.org/officeDocument/2006/relationships/hyperlink" Target="https://leetcode.com/problems/minimum-interval-to-include-each-query/" TargetMode="External" Id="rId202"/><Relationship Type="http://schemas.openxmlformats.org/officeDocument/2006/relationships/hyperlink" Target="https://leetcode.com/problems/triangle-judgement/" TargetMode="External" Id="rId203"/><Relationship Type="http://schemas.openxmlformats.org/officeDocument/2006/relationships/hyperlink" Target="https://leetcode.com/problems/sum-of-two-integers/" TargetMode="External" Id="rId204"/><Relationship Type="http://schemas.openxmlformats.org/officeDocument/2006/relationships/hyperlink" Target="https://leetcode.com/problems/single-number-ii/" TargetMode="External" Id="rId205"/><Relationship Type="http://schemas.openxmlformats.org/officeDocument/2006/relationships/hyperlink" Target="https://leetcode.com/problems/maximum-xor-with-an-element-from-array/" TargetMode="External" Id="rId206"/><Relationship Type="http://schemas.openxmlformats.org/officeDocument/2006/relationships/hyperlink" Target="https://leetcode.com/problems/exchange-seats/" TargetMode="External" Id="rId207"/><Relationship Type="http://schemas.openxmlformats.org/officeDocument/2006/relationships/hyperlink" Target="https://leetcode.com/problems/network-delay-time/" TargetMode="External" Id="rId208"/><Relationship Type="http://schemas.openxmlformats.org/officeDocument/2006/relationships/hyperlink" Target="https://leetcode.com/problems/cheapest-flights-within-k-stops/" TargetMode="External" Id="rId209"/><Relationship Type="http://schemas.openxmlformats.org/officeDocument/2006/relationships/hyperlink" Target="https://leetcode.com/problems/swim-in-rising-water/" TargetMode="External" Id="rId210"/><Relationship Type="http://schemas.openxmlformats.org/officeDocument/2006/relationships/hyperlink" Target="https://leetcode.com/problems/employees-whose-manager-left-the-company/" TargetMode="External" Id="rId211"/><Relationship Type="http://schemas.openxmlformats.org/officeDocument/2006/relationships/hyperlink" Target="https://leetcode.com/problems/maximum-xor-of-two-numbers-in-an-array/" TargetMode="External" Id="rId212"/><Relationship Type="http://schemas.openxmlformats.org/officeDocument/2006/relationships/hyperlink" Target="https://leetcode.com/problems/bitwise-and-of-numbers-range/" TargetMode="External" Id="rId213"/><Relationship Type="http://schemas.openxmlformats.org/officeDocument/2006/relationships/hyperlink" Target="https://leetcode.com/problems/shortest-path-visiting-all-nodes/" TargetMode="External" Id="rId214"/><Relationship Type="http://schemas.openxmlformats.org/officeDocument/2006/relationships/hyperlink" Target="https://leetcode.com/problems/house-robber-ii/" TargetMode="External" Id="rId215"/><Relationship Type="http://schemas.openxmlformats.org/officeDocument/2006/relationships/hyperlink" Target="https://leetcode.com/problems/coin-change/" TargetMode="External" Id="rId216"/><Relationship Type="http://schemas.openxmlformats.org/officeDocument/2006/relationships/hyperlink" Target="https://leetcode.com/problems/burst-balloons/" TargetMode="External" Id="rId217"/><Relationship Type="http://schemas.openxmlformats.org/officeDocument/2006/relationships/hyperlink" Target="https://leetcode.com/problems/movie-rating/" TargetMode="External" Id="rId218"/><Relationship Type="http://schemas.openxmlformats.org/officeDocument/2006/relationships/hyperlink" Target="https://leetcode.com/problems/longest-palindromic-substring/" TargetMode="External" Id="rId219"/><Relationship Type="http://schemas.openxmlformats.org/officeDocument/2006/relationships/hyperlink" Target="https://leetcode.com/problems/decode-ways/" TargetMode="External" Id="rId220"/><Relationship Type="http://schemas.openxmlformats.org/officeDocument/2006/relationships/hyperlink" Target="https://leetcode.com/problems/regular-expression-matching/" TargetMode="External" Id="rId221"/><Relationship Type="http://schemas.openxmlformats.org/officeDocument/2006/relationships/hyperlink" Target="https://leetcode.com/problems/fix-names-in-a-table/" TargetMode="External" Id="rId222"/><Relationship Type="http://schemas.openxmlformats.org/officeDocument/2006/relationships/hyperlink" Target="https://leetcode.com/problems/apply-discount-every-n-orders/" TargetMode="External" Id="rId223"/><Relationship Type="http://schemas.openxmlformats.org/officeDocument/2006/relationships/hyperlink" Target="https://leetcode.com/problems/word-break/" TargetMode="External" Id="rId224"/><Relationship Type="http://schemas.openxmlformats.org/officeDocument/2006/relationships/hyperlink" Target="https://leetcode.com/problems/longest-increasing-subsequence/" TargetMode="External" Id="rId225"/><Relationship Type="http://schemas.openxmlformats.org/officeDocument/2006/relationships/hyperlink" Target="https://leetcode.com/problems/russian-doll-envelopes/" TargetMode="External" Id="rId226"/><Relationship Type="http://schemas.openxmlformats.org/officeDocument/2006/relationships/hyperlink" Target="https://leetcode.com/problems/restaurant-growth/" TargetMode="External" Id="rId227"/><Relationship Type="http://schemas.openxmlformats.org/officeDocument/2006/relationships/hyperlink" Target="https://leetcode.com/problems/partition-equal-subset-sum/" TargetMode="External" Id="rId228"/><Relationship Type="http://schemas.openxmlformats.org/officeDocument/2006/relationships/hyperlink" Target="https://leetcode.com/problems/maximum-product-subarray/" TargetMode="External" Id="rId229"/><Relationship Type="http://schemas.openxmlformats.org/officeDocument/2006/relationships/hyperlink" Target="https://leetcode.com/problems/distinct-subsequences/" TargetMode="External" Id="rId230"/><Relationship Type="http://schemas.openxmlformats.org/officeDocument/2006/relationships/hyperlink" Target="https://leetcode.com/problems/patients-with-a-condition/" TargetMode="External" Id="rId231"/><Relationship Type="http://schemas.openxmlformats.org/officeDocument/2006/relationships/hyperlink" Target="https://leetcode.com/problems/unique-paths/" TargetMode="External" Id="rId232"/><Relationship Type="http://schemas.openxmlformats.org/officeDocument/2006/relationships/hyperlink" Target="https://leetcode.com/problems/longest-common-subsequence/" TargetMode="External" Id="rId233"/><Relationship Type="http://schemas.openxmlformats.org/officeDocument/2006/relationships/hyperlink" Target="https://leetcode.com/problems/wildcard-matching/" TargetMode="External" Id="rId234"/><Relationship Type="http://schemas.openxmlformats.org/officeDocument/2006/relationships/hyperlink" Target="https://leetcode.com/problems/friend-requests-ii-who-has-the-most-friends/" TargetMode="External" Id="rId235"/><Relationship Type="http://schemas.openxmlformats.org/officeDocument/2006/relationships/hyperlink" Target="https://leetcode.com/problems/design-memory-allocator/" TargetMode="External" Id="rId236"/><Relationship Type="http://schemas.openxmlformats.org/officeDocument/2006/relationships/hyperlink" Target="https://leetcode.com/problems/best-time-to-buy-and-sell-stock-with-cooldown/" TargetMode="External" Id="rId237"/><Relationship Type="http://schemas.openxmlformats.org/officeDocument/2006/relationships/hyperlink" Target="https://leetcode.com/problems/coin-change-ii/" TargetMode="External" Id="rId238"/><Relationship Type="http://schemas.openxmlformats.org/officeDocument/2006/relationships/hyperlink" Target="https://leetcode.com/problems/best-time-to-buy-and-sell-stock-iii/" TargetMode="External" Id="rId239"/><Relationship Type="http://schemas.openxmlformats.org/officeDocument/2006/relationships/hyperlink" Target="https://leetcode.com/problems/delete-duplicate-emails/" TargetMode="External" Id="rId240"/><Relationship Type="http://schemas.openxmlformats.org/officeDocument/2006/relationships/hyperlink" Target="https://leetcode.com/problems/target-sum/" TargetMode="External" Id="rId241"/><Relationship Type="http://schemas.openxmlformats.org/officeDocument/2006/relationships/hyperlink" Target="https://leetcode.com/problems/interleaving-string/" TargetMode="External" Id="rId242"/><Relationship Type="http://schemas.openxmlformats.org/officeDocument/2006/relationships/hyperlink" Target="https://leetcode.com/problems/longest-increasing-path-in-a-matrix/" TargetMode="External" Id="rId243"/><Relationship Type="http://schemas.openxmlformats.org/officeDocument/2006/relationships/hyperlink" Target="https://leetcode.com/problems/edit-distance/" TargetMode="External" Id="rId244"/><Relationship Type="http://schemas.openxmlformats.org/officeDocument/2006/relationships/hyperlink" Target="https://leetcode.com/problems/maximal-square/" TargetMode="External" Id="rId245"/><Relationship Type="http://schemas.openxmlformats.org/officeDocument/2006/relationships/hyperlink" Target="https://leetcode.com/problems/maximum-profit-in-job-scheduling/" TargetMode="External" Id="rId246"/><Relationship Type="http://schemas.openxmlformats.org/officeDocument/2006/relationships/hyperlink" Target="https://leetcode.com/problems/investments-in-2016/" TargetMode="External" Id="rId247"/><Relationship Type="http://schemas.openxmlformats.org/officeDocument/2006/relationships/hyperlink" Target="https://leetcode.com/problems/subsets/" TargetMode="External" Id="rId248"/><Relationship Type="http://schemas.openxmlformats.org/officeDocument/2006/relationships/hyperlink" Target="https://leetcode.com/problems/combination-sum/" TargetMode="External" Id="rId249"/><Relationship Type="http://schemas.openxmlformats.org/officeDocument/2006/relationships/hyperlink" Target="https://leetcode.com/problems/n-queens/" TargetMode="External" Id="rId250"/><Relationship Type="http://schemas.openxmlformats.org/officeDocument/2006/relationships/hyperlink" Target="https://leetcode.com/problems/group-sold-products-by-the-date/" TargetMode="External" Id="rId251"/><Relationship Type="http://schemas.openxmlformats.org/officeDocument/2006/relationships/hyperlink" Target="https://leetcode.com/problems/smallest-number-in-infinite-set/" TargetMode="External" Id="rId252"/><Relationship Type="http://schemas.openxmlformats.org/officeDocument/2006/relationships/hyperlink" Target="https://leetcode.com/problems/permutations/" TargetMode="External" Id="rId253"/><Relationship Type="http://schemas.openxmlformats.org/officeDocument/2006/relationships/hyperlink" Target="https://leetcode.com/problems/palindrome-partitioning/" TargetMode="External" Id="rId254"/><Relationship Type="http://schemas.openxmlformats.org/officeDocument/2006/relationships/hyperlink" Target="https://leetcode.com/problems/sudoku-solver/" TargetMode="External" Id="rId255"/><Relationship Type="http://schemas.openxmlformats.org/officeDocument/2006/relationships/hyperlink" Target="https://leetcode.com/problems/market-analysis-i/" TargetMode="External" Id="rId256"/><Relationship Type="http://schemas.openxmlformats.org/officeDocument/2006/relationships/hyperlink" Target="https://leetcode.com/problems/word-search/" TargetMode="External" Id="rId257"/><Relationship Type="http://schemas.openxmlformats.org/officeDocument/2006/relationships/hyperlink" Target="https://leetcode.com/problems/letter-combinations-of-a-phone-number/" TargetMode="External" Id="rId258"/><Relationship Type="http://schemas.openxmlformats.org/officeDocument/2006/relationships/hyperlink" Target="https://leetcode.com/problems/word-break-ii/" TargetMode="External" Id="rId259"/><Relationship Type="http://schemas.openxmlformats.org/officeDocument/2006/relationships/hyperlink" Target="https://leetcode.com/problems/list-the-products-ordered-in-a-period/" TargetMode="External" Id="rId260"/><Relationship Type="http://schemas.openxmlformats.org/officeDocument/2006/relationships/hyperlink" Target="https://leetcode.com/problems/jump-game/" TargetMode="External" Id="rId261"/><Relationship Type="http://schemas.openxmlformats.org/officeDocument/2006/relationships/hyperlink" Target="https://leetcode.com/problems/gas-station/" TargetMode="External" Id="rId262"/><Relationship Type="http://schemas.openxmlformats.org/officeDocument/2006/relationships/hyperlink" Target="https://leetcode.com/problems/candy/" TargetMode="External" Id="rId263"/><Relationship Type="http://schemas.openxmlformats.org/officeDocument/2006/relationships/hyperlink" Target="https://leetcode.com/problems/tree-node/" TargetMode="External" Id="rId264"/><Relationship Type="http://schemas.openxmlformats.org/officeDocument/2006/relationships/hyperlink" Target="https://leetcode.com/problems/jump-game-ii/" TargetMode="External" Id="rId265"/><Relationship Type="http://schemas.openxmlformats.org/officeDocument/2006/relationships/hyperlink" Target="https://leetcode.com/problems/partition-labels/" TargetMode="External" Id="rId266"/><Relationship Type="http://schemas.openxmlformats.org/officeDocument/2006/relationships/hyperlink" Target="https://leetcode.com/problems/course-schedule-iii/" TargetMode="External" Id="rId267"/><Relationship Type="http://schemas.openxmlformats.org/officeDocument/2006/relationships/hyperlink" Target="https://leetcode.com/problems/find-users-with-valid-e-mails/" TargetMode="External" Id="rId268"/><Relationship Type="http://schemas.openxmlformats.org/officeDocument/2006/relationships/hyperlink" Target="https://leetcode.com/problems/frequency-tracker/" TargetMode="External" Id="rId269"/><Relationship Type="http://schemas.openxmlformats.org/officeDocument/2006/relationships/hyperlink" Target="https://leetcode.com/problems/hand-of-straights/" TargetMode="External" Id="rId270"/><Relationship Type="http://schemas.openxmlformats.org/officeDocument/2006/relationships/hyperlink" Target="https://leetcode.com/problems/valid-parenthesis-string/" TargetMode="External" Id="rId271"/><Relationship Type="http://schemas.openxmlformats.org/officeDocument/2006/relationships/hyperlink" Target="https://leetcode.com/problems/patching-array/" TargetMode="External" Id="rId272"/><Relationship Type="http://schemas.openxmlformats.org/officeDocument/2006/relationships/hyperlink" Target="https://leetcode.com/problems/brick-wall/" TargetMode="External" Id="rId273"/><Relationship Type="http://schemas.openxmlformats.org/officeDocument/2006/relationships/hyperlink" Target="https://leetcode.com/problems/find-all-anagrams-in-a-string/" TargetMode="External" Id="rId274"/><Relationship Type="http://schemas.openxmlformats.org/officeDocument/2006/relationships/hyperlink" Target="https://leetcode.com/problems/longest-duplicate-substring/" TargetMode="External" Id="rId275"/><Relationship Type="http://schemas.openxmlformats.org/officeDocument/2006/relationships/hyperlink" Target="https://leetcode.com/problems/capital-gainloss/" TargetMode="External" Id="rId276"/><Relationship Type="http://schemas.openxmlformats.org/officeDocument/2006/relationships/hyperlink" Target="https://leetcode.com/problems/is-graph-bipartite/" TargetMode="External" Id="rId277"/><Relationship Type="http://schemas.openxmlformats.org/officeDocument/2006/relationships/hyperlink" Target="https://leetcode.com/problems/evaluate-division/" TargetMode="External" Id="rId278"/><Relationship Type="http://schemas.openxmlformats.org/officeDocument/2006/relationships/hyperlink" Target="https://leetcode.com/problems/reconstruct-itinerary/" TargetMode="External" Id="rId279"/><Relationship Type="http://schemas.openxmlformats.org/officeDocument/2006/relationships/hyperlink" Target="https://leetcode.com/problems/game-play-analysis-i/" TargetMode="External" Id="rId280"/><Relationship Type="http://schemas.openxmlformats.org/officeDocument/2006/relationships/hyperlink" Target="https://leetcode.com/problems/insert-delete-getrandom-o1/" TargetMode="External" Id="rId281"/><Relationship Type="http://schemas.openxmlformats.org/officeDocument/2006/relationships/hyperlink" Target="https://leetcode.com/problems/snapshot-array/" TargetMode="External" Id="rId282"/><Relationship Type="http://schemas.openxmlformats.org/officeDocument/2006/relationships/hyperlink" Target="https://leetcode.com/problems/maximum-frequency-stack/" TargetMode="External" Id="rId283"/><Relationship Type="http://schemas.openxmlformats.org/officeDocument/2006/relationships/hyperlink" Target="https://leetcode.com/problems/customer-placing-the-largest-number-of-orders/" TargetMode="External" Id="rId284"/><Relationship Type="http://schemas.openxmlformats.org/officeDocument/2006/relationships/hyperlink" Target="https://leetcode.com/problems/set-matrix-zeroes/" TargetMode="External" Id="rId285"/><Relationship Type="http://schemas.openxmlformats.org/officeDocument/2006/relationships/hyperlink" Target="https://leetcode.com/problems/game-of-life/" TargetMode="External" Id="rId286"/><Relationship Type="http://schemas.openxmlformats.org/officeDocument/2006/relationships/hyperlink" Target="https://leetcode.com/problems/smallest-range-covering-elements-from-k-lists/" TargetMode="External" Id="rId287"/><Relationship Type="http://schemas.openxmlformats.org/officeDocument/2006/relationships/hyperlink" Target="https://leetcode.com/problems/sales-person/" TargetMode="External" Id="rId288"/><Relationship Type="http://schemas.openxmlformats.org/officeDocument/2006/relationships/hyperlink" Target="https://leetcode.com/problems/string-to-integer-atoi/" TargetMode="External" Id="rId289"/><Relationship Type="http://schemas.openxmlformats.org/officeDocument/2006/relationships/hyperlink" Target="https://leetcode.com/problems/multiply-strings/" TargetMode="External" Id="rId290"/><Relationship Type="http://schemas.openxmlformats.org/officeDocument/2006/relationships/hyperlink" Target="https://leetcode.com/problems/text-justification/" TargetMode="External" Id="rId291"/><Relationship Type="http://schemas.openxmlformats.org/officeDocument/2006/relationships/hyperlink" Target="https://leetcode.com/problems/user-activity-for-the-past-30-days-i/" TargetMode="External" Id="rId292"/><Relationship Type="http://schemas.openxmlformats.org/officeDocument/2006/relationships/hyperlink" Target="https://leetcode.com/problems/design-front-middle-back-queue/" TargetMode="External" Id="rId293"/><Relationship Type="http://schemas.openxmlformats.org/officeDocument/2006/relationships/hyperlink" Target="https://leetcode.com/problems/maximum-subarray/" TargetMode="External" Id="rId294"/><Relationship Type="http://schemas.openxmlformats.org/officeDocument/2006/relationships/hyperlink" Target="https://leetcode.com/problems/maximum-sum-circular-subarray/" TargetMode="External" Id="rId295"/><Relationship Type="http://schemas.openxmlformats.org/officeDocument/2006/relationships/hyperlink" Target="https://leetcode.com/problems/max-sum-of-rectangle-no-larger-than-k/" TargetMode="External" Id="rId296"/><Relationship Type="http://schemas.openxmlformats.org/officeDocument/2006/relationships/hyperlink" Target="https://leetcode.com/problems/top-travellers/" TargetMode="External" Id="rId297"/><Relationship Type="http://schemas.openxmlformats.org/officeDocument/2006/relationships/hyperlink" Target="https://leetcode.com/problems/integer-to-roman/" TargetMode="External" Id="rId298"/><Relationship Type="http://schemas.openxmlformats.org/officeDocument/2006/relationships/hyperlink" Target="https://leetcode.com/problems/powx-n/" TargetMode="External" Id="rId299"/><Relationship Type="http://schemas.openxmlformats.org/officeDocument/2006/relationships/hyperlink" Target="https://leetcode.com/problems/integer-to-english-words/" TargetMode="External" Id="rId300"/><Relationship Type="http://schemas.openxmlformats.org/officeDocument/2006/relationships/hyperlink" Target="https://leetcode.com/problems/4sum-ii/" TargetMode="External" Id="rId301"/><Relationship Type="http://schemas.openxmlformats.org/officeDocument/2006/relationships/hyperlink" Target="https://leetcode.com/problems/longest-palindrome-by-concatenating-two-letter-words/" TargetMode="External" Id="rId302"/><Relationship Type="http://schemas.openxmlformats.org/officeDocument/2006/relationships/hyperlink" Target="https://leetcode.com/problems/substring-with-largest-variance/" TargetMode="External" Id="rId303"/><Relationship Type="http://schemas.openxmlformats.org/officeDocument/2006/relationships/hyperlink" Target="https://leetcode.com/problems/article-views-i/" TargetMode="External" Id="rId304"/><Relationship Type="http://schemas.openxmlformats.org/officeDocument/2006/relationships/hyperlink" Target="https://leetcode.com/problems/simple-bank-system/" TargetMode="External" Id="rId305"/><Relationship Type="http://schemas.openxmlformats.org/officeDocument/2006/relationships/hyperlink" Target="https://leetcode.com/problems/reorder-routes-to-make-all-paths-lead-to-the-city-zero/" TargetMode="External" Id="rId306"/><Relationship Type="http://schemas.openxmlformats.org/officeDocument/2006/relationships/hyperlink" Target="https://leetcode.com/problems/keys-and-rooms/" TargetMode="External" Id="rId307"/><Relationship Type="http://schemas.openxmlformats.org/officeDocument/2006/relationships/hyperlink" Target="https://leetcode.com/problems/minimum-cost-to-make-at-least-one-valid-path-in-a-grid/" TargetMode="External" Id="rId308"/><Relationship Type="http://schemas.openxmlformats.org/officeDocument/2006/relationships/hyperlink" Target="https://leetcode.com/problems/invalid-tweets/" TargetMode="External" Id="rId309"/><Relationship Type="http://schemas.openxmlformats.org/officeDocument/2006/relationships/hyperlink" Target="https://leetcode.com/problems/my-calendar-i/" TargetMode="External" Id="rId310"/><Relationship Type="http://schemas.openxmlformats.org/officeDocument/2006/relationships/hyperlink" Target="https://leetcode.com/problems/increasing-triplet-subsequence/" TargetMode="External" Id="rId311"/><Relationship Type="http://schemas.openxmlformats.org/officeDocument/2006/relationships/hyperlink" Target="https://leetcode.com/problems/max-number-of-k-sum-pairs/" TargetMode="External" Id="rId312"/><Relationship Type="http://schemas.openxmlformats.org/officeDocument/2006/relationships/hyperlink" Target="https://leetcode.com/problems/sliding-puzzle/" TargetMode="External" Id="rId313"/><Relationship Type="http://schemas.openxmlformats.org/officeDocument/2006/relationships/hyperlink" Target="https://leetcode.com/problems/product-sales-analysis-i/" TargetMode="External" Id="rId314"/><Relationship Type="http://schemas.openxmlformats.org/officeDocument/2006/relationships/hyperlink" Target="https://leetcode.com/problems/string-compression/" TargetMode="External" Id="rId315"/><Relationship Type="http://schemas.openxmlformats.org/officeDocument/2006/relationships/hyperlink" Target="https://leetcode.com/problems/longest-subarray-of-1s-after-deleting-one-element/" TargetMode="External" Id="rId316"/><Relationship Type="http://schemas.openxmlformats.org/officeDocument/2006/relationships/hyperlink" Target="https://leetcode.com/problems/minimum-cost-to-hire-k-workers/" TargetMode="External" Id="rId317"/><Relationship Type="http://schemas.openxmlformats.org/officeDocument/2006/relationships/hyperlink" Target="https://leetcode.com/problems/swap-sex-of-employees/" TargetMode="External" Id="rId318"/><Relationship Type="http://schemas.openxmlformats.org/officeDocument/2006/relationships/hyperlink" Target="https://leetcode.com/problems/design-a-food-rating-system/" TargetMode="External" Id="rId319"/><Relationship Type="http://schemas.openxmlformats.org/officeDocument/2006/relationships/hyperlink" Target="https://leetcode.com/problems/removing-stars-from-a-string/" TargetMode="External" Id="rId320"/><Relationship Type="http://schemas.openxmlformats.org/officeDocument/2006/relationships/hyperlink" Target="https://leetcode.com/problems/successful-pairs-of-spells-and-potions/" TargetMode="External" Id="rId321"/><Relationship Type="http://schemas.openxmlformats.org/officeDocument/2006/relationships/hyperlink" Target="https://leetcode.com/problems/trapping-rain-water-ii/" TargetMode="External" Id="rId322"/><Relationship Type="http://schemas.openxmlformats.org/officeDocument/2006/relationships/hyperlink" Target="https://leetcode.com/problems/actors-and-directors-who-cooperated-at-least-three-times/" TargetMode="External" Id="rId323"/><Relationship Type="http://schemas.openxmlformats.org/officeDocument/2006/relationships/hyperlink" Target="https://leetcode.com/problems/my-calendar-ii/" TargetMode="External" Id="rId324"/></Relationships>
</file>

<file path=xl/worksheets/_rels/sheet4.xml.rels><Relationships xmlns="http://schemas.openxmlformats.org/package/2006/relationships"><Relationship Type="http://schemas.openxmlformats.org/officeDocument/2006/relationships/hyperlink" Target="https://leetcode.com/problems/group-anagrams/" TargetMode="External" Id="rId1"/><Relationship Type="http://schemas.openxmlformats.org/officeDocument/2006/relationships/hyperlink" Target="https://leetcode.com/problems/top-k-frequent-elements/" TargetMode="External" Id="rId2"/><Relationship Type="http://schemas.openxmlformats.org/officeDocument/2006/relationships/hyperlink" Target="https://leetcode.com/problems/first-missing-positive/" TargetMode="External" Id="rId3"/><Relationship Type="http://schemas.openxmlformats.org/officeDocument/2006/relationships/hyperlink" Target="https://leetcode.com/problems/product-of-array-except-self/" TargetMode="External" Id="rId4"/><Relationship Type="http://schemas.openxmlformats.org/officeDocument/2006/relationships/hyperlink" Target="https://leetcode.com/problems/longest-consecutive-sequence/" TargetMode="External" Id="rId5"/><Relationship Type="http://schemas.openxmlformats.org/officeDocument/2006/relationships/hyperlink" Target="https://leetcode.com/problems/insert-delete-getrandom-o1-duplicates-allowed/" TargetMode="External" Id="rId6"/><Relationship Type="http://schemas.openxmlformats.org/officeDocument/2006/relationships/hyperlink" Target="https://leetcode.com/problems/valid-sudoku/" TargetMode="External" Id="rId7"/><Relationship Type="http://schemas.openxmlformats.org/officeDocument/2006/relationships/hyperlink" Target="https://leetcode.com/problems/majority-element-ii/" TargetMode="External" Id="rId8"/><Relationship Type="http://schemas.openxmlformats.org/officeDocument/2006/relationships/hyperlink" Target="https://leetcode.com/problems/count-of-smaller-numbers-after-self/" TargetMode="External" Id="rId9"/><Relationship Type="http://schemas.openxmlformats.org/officeDocument/2006/relationships/hyperlink" Target="https://leetcode.com/problems/3sum/" TargetMode="External" Id="rId10"/><Relationship Type="http://schemas.openxmlformats.org/officeDocument/2006/relationships/hyperlink" Target="https://leetcode.com/problems/container-with-most-water/" TargetMode="External" Id="rId11"/><Relationship Type="http://schemas.openxmlformats.org/officeDocument/2006/relationships/hyperlink" Target="https://leetcode.com/problems/trapping-rain-water/" TargetMode="External" Id="rId12"/><Relationship Type="http://schemas.openxmlformats.org/officeDocument/2006/relationships/hyperlink" Target="https://leetcode.com/problems/two-sum-ii-input-array-is-sorted/" TargetMode="External" Id="rId13"/><Relationship Type="http://schemas.openxmlformats.org/officeDocument/2006/relationships/hyperlink" Target="https://leetcode.com/problems/4sum/" TargetMode="External" Id="rId14"/><Relationship Type="http://schemas.openxmlformats.org/officeDocument/2006/relationships/hyperlink" Target="https://leetcode.com/problems/reverse-pairs/" TargetMode="External" Id="rId15"/><Relationship Type="http://schemas.openxmlformats.org/officeDocument/2006/relationships/hyperlink" Target="https://leetcode.com/problems/sort-colors/" TargetMode="External" Id="rId16"/><Relationship Type="http://schemas.openxmlformats.org/officeDocument/2006/relationships/hyperlink" Target="https://leetcode.com/problems/boats-to-save-people/" TargetMode="External" Id="rId17"/><Relationship Type="http://schemas.openxmlformats.org/officeDocument/2006/relationships/hyperlink" Target="https://leetcode.com/problems/maximum-score-of-a-good-subarray/" TargetMode="External" Id="rId18"/><Relationship Type="http://schemas.openxmlformats.org/officeDocument/2006/relationships/hyperlink" Target="https://leetcode.com/problems/longest-substring-without-repeating-characters/" TargetMode="External" Id="rId19"/><Relationship Type="http://schemas.openxmlformats.org/officeDocument/2006/relationships/hyperlink" Target="https://leetcode.com/problems/longest-repeating-character-replacement/" TargetMode="External" Id="rId20"/><Relationship Type="http://schemas.openxmlformats.org/officeDocument/2006/relationships/hyperlink" Target="https://leetcode.com/problems/minimum-window-substring/" TargetMode="External" Id="rId21"/><Relationship Type="http://schemas.openxmlformats.org/officeDocument/2006/relationships/hyperlink" Target="https://leetcode.com/problems/permutation-in-string/" TargetMode="External" Id="rId22"/><Relationship Type="http://schemas.openxmlformats.org/officeDocument/2006/relationships/hyperlink" Target="https://leetcode.com/problems/fruit-into-baskets/" TargetMode="External" Id="rId23"/><Relationship Type="http://schemas.openxmlformats.org/officeDocument/2006/relationships/hyperlink" Target="https://leetcode.com/problems/sliding-window-maximum/" TargetMode="External" Id="rId24"/><Relationship Type="http://schemas.openxmlformats.org/officeDocument/2006/relationships/hyperlink" Target="https://leetcode.com/problems/max-consecutive-ones-iii/" TargetMode="External" Id="rId25"/><Relationship Type="http://schemas.openxmlformats.org/officeDocument/2006/relationships/hyperlink" Target="https://leetcode.com/problems/minimum-size-subarray-sum/" TargetMode="External" Id="rId26"/><Relationship Type="http://schemas.openxmlformats.org/officeDocument/2006/relationships/hyperlink" Target="https://leetcode.com/problems/substring-with-concatenation-of-all-words/" TargetMode="External" Id="rId27"/><Relationship Type="http://schemas.openxmlformats.org/officeDocument/2006/relationships/hyperlink" Target="https://leetcode.com/problems/min-stack/" TargetMode="External" Id="rId28"/><Relationship Type="http://schemas.openxmlformats.org/officeDocument/2006/relationships/hyperlink" Target="https://leetcode.com/problems/evaluate-reverse-polish-notation/" TargetMode="External" Id="rId29"/><Relationship Type="http://schemas.openxmlformats.org/officeDocument/2006/relationships/hyperlink" Target="https://leetcode.com/problems/basic-calculator/" TargetMode="External" Id="rId30"/><Relationship Type="http://schemas.openxmlformats.org/officeDocument/2006/relationships/hyperlink" Target="https://leetcode.com/problems/daily-temperatures/" TargetMode="External" Id="rId31"/><Relationship Type="http://schemas.openxmlformats.org/officeDocument/2006/relationships/hyperlink" Target="https://leetcode.com/problems/car-fleet/" TargetMode="External" Id="rId32"/><Relationship Type="http://schemas.openxmlformats.org/officeDocument/2006/relationships/hyperlink" Target="https://leetcode.com/problems/largest-rectangle-in-histogram/" TargetMode="External" Id="rId33"/><Relationship Type="http://schemas.openxmlformats.org/officeDocument/2006/relationships/hyperlink" Target="https://leetcode.com/problems/decode-string/" TargetMode="External" Id="rId34"/><Relationship Type="http://schemas.openxmlformats.org/officeDocument/2006/relationships/hyperlink" Target="https://leetcode.com/problems/asteroid-collision/" TargetMode="External" Id="rId35"/><Relationship Type="http://schemas.openxmlformats.org/officeDocument/2006/relationships/hyperlink" Target="https://leetcode.com/problems/longest-valid-parentheses/" TargetMode="External" Id="rId36"/><Relationship Type="http://schemas.openxmlformats.org/officeDocument/2006/relationships/hyperlink" Target="https://leetcode.com/problems/online-stock-span/" TargetMode="External" Id="rId37"/><Relationship Type="http://schemas.openxmlformats.org/officeDocument/2006/relationships/hyperlink" Target="https://leetcode.com/problems/remove-k-digits/" TargetMode="External" Id="rId38"/><Relationship Type="http://schemas.openxmlformats.org/officeDocument/2006/relationships/hyperlink" Target="https://leetcode.com/problems/maximal-rectangle/" TargetMode="External" Id="rId39"/><Relationship Type="http://schemas.openxmlformats.org/officeDocument/2006/relationships/hyperlink" Target="https://leetcode.com/problems/search-a-2d-matrix/" TargetMode="External" Id="rId40"/><Relationship Type="http://schemas.openxmlformats.org/officeDocument/2006/relationships/hyperlink" Target="https://leetcode.com/problems/koko-eating-bananas/" TargetMode="External" Id="rId41"/><Relationship Type="http://schemas.openxmlformats.org/officeDocument/2006/relationships/hyperlink" Target="https://leetcode.com/problems/median-of-two-sorted-arrays/" TargetMode="External" Id="rId42"/><Relationship Type="http://schemas.openxmlformats.org/officeDocument/2006/relationships/hyperlink" Target="https://leetcode.com/problems/lru-cache/" TargetMode="External" Id="rId43"/><Relationship Type="http://schemas.openxmlformats.org/officeDocument/2006/relationships/hyperlink" Target="https://leetcode.com/problems/reorder-list/" TargetMode="External" Id="rId44"/><Relationship Type="http://schemas.openxmlformats.org/officeDocument/2006/relationships/hyperlink" Target="https://leetcode.com/problems/reverse-nodes-in-k-group/" TargetMode="External" Id="rId45"/><Relationship Type="http://schemas.openxmlformats.org/officeDocument/2006/relationships/hyperlink" Target="https://leetcode.com/problems/remove-nth-node-from-end-of-list/" TargetMode="External" Id="rId46"/><Relationship Type="http://schemas.openxmlformats.org/officeDocument/2006/relationships/hyperlink" Target="https://leetcode.com/problems/copy-list-with-random-pointer/" TargetMode="External" Id="rId47"/><Relationship Type="http://schemas.openxmlformats.org/officeDocument/2006/relationships/hyperlink" Target="https://leetcode.com/problems/merge-k-sorted-lists/" TargetMode="External" Id="rId48"/><Relationship Type="http://schemas.openxmlformats.org/officeDocument/2006/relationships/hyperlink" Target="https://leetcode.com/problems/add-two-numbers/" TargetMode="External" Id="rId49"/><Relationship Type="http://schemas.openxmlformats.org/officeDocument/2006/relationships/hyperlink" Target="https://leetcode.com/problems/find-the-duplicate-number/" TargetMode="External" Id="rId50"/><Relationship Type="http://schemas.openxmlformats.org/officeDocument/2006/relationships/hyperlink" Target="https://leetcode.com/problems/lfu-cache/" TargetMode="External" Id="rId51"/><Relationship Type="http://schemas.openxmlformats.org/officeDocument/2006/relationships/hyperlink" Target="https://leetcode.com/problems/search-in-rotated-sorted-array/" TargetMode="External" Id="rId52"/><Relationship Type="http://schemas.openxmlformats.org/officeDocument/2006/relationships/hyperlink" Target="https://leetcode.com/problems/find-minimum-in-rotated-sorted-array/" TargetMode="External" Id="rId53"/><Relationship Type="http://schemas.openxmlformats.org/officeDocument/2006/relationships/hyperlink" Target="https://leetcode.com/problems/find-minimum-in-rotated-sorted-array-ii/" TargetMode="External" Id="rId54"/><Relationship Type="http://schemas.openxmlformats.org/officeDocument/2006/relationships/hyperlink" Target="https://leetcode.com/problems/time-based-key-value-store/" TargetMode="External" Id="rId55"/><Relationship Type="http://schemas.openxmlformats.org/officeDocument/2006/relationships/hyperlink" Target="https://leetcode.com/problems/find-first-and-last-position-of-element-in-sorted-array/" TargetMode="External" Id="rId56"/><Relationship Type="http://schemas.openxmlformats.org/officeDocument/2006/relationships/hyperlink" Target="https://leetcode.com/problems/split-array-largest-sum/" TargetMode="External" Id="rId57"/><Relationship Type="http://schemas.openxmlformats.org/officeDocument/2006/relationships/hyperlink" Target="https://leetcode.com/problems/rotate-list/" TargetMode="External" Id="rId58"/><Relationship Type="http://schemas.openxmlformats.org/officeDocument/2006/relationships/hyperlink" Target="https://leetcode.com/problems/sort-list/" TargetMode="External" Id="rId59"/><Relationship Type="http://schemas.openxmlformats.org/officeDocument/2006/relationships/hyperlink" Target="https://leetcode.com/problems/design-skiplist/" TargetMode="External" Id="rId60"/><Relationship Type="http://schemas.openxmlformats.org/officeDocument/2006/relationships/hyperlink" Target="https://leetcode.com/problems/reverse-linked-list-ii/" TargetMode="External" Id="rId61"/><Relationship Type="http://schemas.openxmlformats.org/officeDocument/2006/relationships/hyperlink" Target="https://leetcode.com/problems/swap-nodes-in-pairs/" TargetMode="External" Id="rId62"/><Relationship Type="http://schemas.openxmlformats.org/officeDocument/2006/relationships/hyperlink" Target="https://leetcode.com/problems/all-oone-data-structure/" TargetMode="External" Id="rId63"/><Relationship Type="http://schemas.openxmlformats.org/officeDocument/2006/relationships/hyperlink" Target="https://leetcode.com/problems/subarray-sum-equals-k/" TargetMode="External" Id="rId64"/><Relationship Type="http://schemas.openxmlformats.org/officeDocument/2006/relationships/hyperlink" Target="https://leetcode.com/problems/contiguous-array/" TargetMode="External" Id="rId65"/><Relationship Type="http://schemas.openxmlformats.org/officeDocument/2006/relationships/hyperlink" Target="https://leetcode.com/problems/shortest-subarray-with-sum-at-least-k/" TargetMode="External" Id="rId66"/><Relationship Type="http://schemas.openxmlformats.org/officeDocument/2006/relationships/hyperlink" Target="https://leetcode.com/problems/subarray-sums-divisible-by-k/" TargetMode="External" Id="rId67"/><Relationship Type="http://schemas.openxmlformats.org/officeDocument/2006/relationships/hyperlink" Target="https://leetcode.com/problems/continuous-subarray-sum/" TargetMode="External" Id="rId68"/><Relationship Type="http://schemas.openxmlformats.org/officeDocument/2006/relationships/hyperlink" Target="https://leetcode.com/problems/number-of-submatrices-that-sum-to-target/" TargetMode="External" Id="rId69"/><Relationship Type="http://schemas.openxmlformats.org/officeDocument/2006/relationships/hyperlink" Target="https://leetcode.com/problems/capacity-to-ship-packages-within-d-days/" TargetMode="External" Id="rId70"/><Relationship Type="http://schemas.openxmlformats.org/officeDocument/2006/relationships/hyperlink" Target="https://leetcode.com/problems/find-peak-element/" TargetMode="External" Id="rId71"/><Relationship Type="http://schemas.openxmlformats.org/officeDocument/2006/relationships/hyperlink" Target="https://leetcode.com/problems/find-k-th-smallest-pair-distance/" TargetMode="External" Id="rId72"/><Relationship Type="http://schemas.openxmlformats.org/officeDocument/2006/relationships/hyperlink" Target="https://leetcode.com/problems/rotate-image/" TargetMode="External" Id="rId73"/><Relationship Type="http://schemas.openxmlformats.org/officeDocument/2006/relationships/hyperlink" Target="https://leetcode.com/problems/spiral-matrix/" TargetMode="External" Id="rId74"/><Relationship Type="http://schemas.openxmlformats.org/officeDocument/2006/relationships/hyperlink" Target="https://leetcode.com/problems/count-of-range-sum/" TargetMode="External" Id="rId75"/><Relationship Type="http://schemas.openxmlformats.org/officeDocument/2006/relationships/hyperlink" Target="https://leetcode.com/problems/binary-tree-level-order-traversal/" TargetMode="External" Id="rId76"/><Relationship Type="http://schemas.openxmlformats.org/officeDocument/2006/relationships/hyperlink" Target="https://leetcode.com/problems/validate-binary-search-tree/" TargetMode="External" Id="rId77"/><Relationship Type="http://schemas.openxmlformats.org/officeDocument/2006/relationships/hyperlink" Target="https://leetcode.com/problems/binary-tree-maximum-path-sum/" TargetMode="External" Id="rId78"/><Relationship Type="http://schemas.openxmlformats.org/officeDocument/2006/relationships/hyperlink" Target="https://leetcode.com/problems/construct-binary-tree-from-preorder-and-inorder-traversal/" TargetMode="External" Id="rId79"/><Relationship Type="http://schemas.openxmlformats.org/officeDocument/2006/relationships/hyperlink" Target="https://leetcode.com/problems/lowest-common-ancestor-of-a-binary-tree/" TargetMode="External" Id="rId80"/><Relationship Type="http://schemas.openxmlformats.org/officeDocument/2006/relationships/hyperlink" Target="https://leetcode.com/problems/serialize-and-deserialize-binary-tree/" TargetMode="External" Id="rId81"/><Relationship Type="http://schemas.openxmlformats.org/officeDocument/2006/relationships/hyperlink" Target="https://leetcode.com/problems/binary-tree-right-side-view/" TargetMode="External" Id="rId82"/><Relationship Type="http://schemas.openxmlformats.org/officeDocument/2006/relationships/hyperlink" Target="https://leetcode.com/problems/kth-smallest-element-in-a-bst/" TargetMode="External" Id="rId83"/><Relationship Type="http://schemas.openxmlformats.org/officeDocument/2006/relationships/hyperlink" Target="https://leetcode.com/problems/binary-tree-cameras/" TargetMode="External" Id="rId84"/><Relationship Type="http://schemas.openxmlformats.org/officeDocument/2006/relationships/hyperlink" Target="https://leetcode.com/problems/count-good-nodes-in-binary-tree/" TargetMode="External" Id="rId85"/><Relationship Type="http://schemas.openxmlformats.org/officeDocument/2006/relationships/hyperlink" Target="https://leetcode.com/problems/path-sum-ii/" TargetMode="External" Id="rId86"/><Relationship Type="http://schemas.openxmlformats.org/officeDocument/2006/relationships/hyperlink" Target="https://leetcode.com/problems/vertical-order-traversal-of-a-binary-tree/" TargetMode="External" Id="rId87"/><Relationship Type="http://schemas.openxmlformats.org/officeDocument/2006/relationships/hyperlink" Target="https://leetcode.com/problems/flatten-binary-tree-to-linked-list/" TargetMode="External" Id="rId88"/><Relationship Type="http://schemas.openxmlformats.org/officeDocument/2006/relationships/hyperlink" Target="https://leetcode.com/problems/populating-next-right-pointers-in-each-node/" TargetMode="External" Id="rId89"/><Relationship Type="http://schemas.openxmlformats.org/officeDocument/2006/relationships/hyperlink" Target="https://leetcode.com/problems/recover-a-tree-from-preorder-traversal/" TargetMode="External" Id="rId90"/><Relationship Type="http://schemas.openxmlformats.org/officeDocument/2006/relationships/hyperlink" Target="https://leetcode.com/problems/delete-node-in-a-bst/" TargetMode="External" Id="rId91"/><Relationship Type="http://schemas.openxmlformats.org/officeDocument/2006/relationships/hyperlink" Target="https://leetcode.com/problems/all-nodes-distance-k-in-binary-tree/" TargetMode="External" Id="rId92"/><Relationship Type="http://schemas.openxmlformats.org/officeDocument/2006/relationships/hyperlink" Target="https://leetcode.com/problems/sum-of-distances-in-tree/" TargetMode="External" Id="rId93"/><Relationship Type="http://schemas.openxmlformats.org/officeDocument/2006/relationships/hyperlink" Target="https://leetcode.com/problems/path-sum-iii/" TargetMode="External" Id="rId94"/><Relationship Type="http://schemas.openxmlformats.org/officeDocument/2006/relationships/hyperlink" Target="https://leetcode.com/problems/maximum-width-of-binary-tree/" TargetMode="External" Id="rId95"/><Relationship Type="http://schemas.openxmlformats.org/officeDocument/2006/relationships/hyperlink" Target="https://leetcode.com/problems/maximum-sum-bst-in-binary-tree/" TargetMode="External" Id="rId96"/><Relationship Type="http://schemas.openxmlformats.org/officeDocument/2006/relationships/hyperlink" Target="https://leetcode.com/problems/binary-tree-zigzag-level-order-traversal/" TargetMode="External" Id="rId97"/><Relationship Type="http://schemas.openxmlformats.org/officeDocument/2006/relationships/hyperlink" Target="https://leetcode.com/problems/lowest-common-ancestor-of-a-binary-search-tree/" TargetMode="External" Id="rId98"/><Relationship Type="http://schemas.openxmlformats.org/officeDocument/2006/relationships/hyperlink" Target="https://leetcode.com/problems/kth-ancestor-of-a-tree-node/" TargetMode="External" Id="rId99"/><Relationship Type="http://schemas.openxmlformats.org/officeDocument/2006/relationships/hyperlink" Target="https://leetcode.com/problems/unique-binary-search-trees-ii/" TargetMode="External" Id="rId100"/><Relationship Type="http://schemas.openxmlformats.org/officeDocument/2006/relationships/hyperlink" Target="https://leetcode.com/problems/sum-root-to-leaf-numbers/" TargetMode="External" Id="rId101"/><Relationship Type="http://schemas.openxmlformats.org/officeDocument/2006/relationships/hyperlink" Target="https://leetcode.com/problems/longest-path-with-different-adjacent-characters/" TargetMode="External" Id="rId102"/><Relationship Type="http://schemas.openxmlformats.org/officeDocument/2006/relationships/hyperlink" Target="https://leetcode.com/problems/kth-largest-element-in-an-array/" TargetMode="External" Id="rId103"/><Relationship Type="http://schemas.openxmlformats.org/officeDocument/2006/relationships/hyperlink" Target="https://leetcode.com/problems/k-closest-points-to-origin/" TargetMode="External" Id="rId104"/><Relationship Type="http://schemas.openxmlformats.org/officeDocument/2006/relationships/hyperlink" Target="https://leetcode.com/problems/find-median-from-data-stream/" TargetMode="External" Id="rId105"/><Relationship Type="http://schemas.openxmlformats.org/officeDocument/2006/relationships/hyperlink" Target="https://leetcode.com/problems/task-scheduler/" TargetMode="External" Id="rId106"/><Relationship Type="http://schemas.openxmlformats.org/officeDocument/2006/relationships/hyperlink" Target="https://leetcode.com/problems/design-twitter/" TargetMode="External" Id="rId107"/><Relationship Type="http://schemas.openxmlformats.org/officeDocument/2006/relationships/hyperlink" Target="https://leetcode.com/problems/ipo/" TargetMode="External" Id="rId108"/><Relationship Type="http://schemas.openxmlformats.org/officeDocument/2006/relationships/hyperlink" Target="https://leetcode.com/problems/reorganize-string/" TargetMode="External" Id="rId109"/><Relationship Type="http://schemas.openxmlformats.org/officeDocument/2006/relationships/hyperlink" Target="https://leetcode.com/problems/top-k-frequent-words/" TargetMode="External" Id="rId110"/><Relationship Type="http://schemas.openxmlformats.org/officeDocument/2006/relationships/hyperlink" Target="https://leetcode.com/problems/sliding-window-median/" TargetMode="External" Id="rId111"/><Relationship Type="http://schemas.openxmlformats.org/officeDocument/2006/relationships/hyperlink" Target="https://leetcode.com/problems/number-of-islands/" TargetMode="External" Id="rId112"/><Relationship Type="http://schemas.openxmlformats.org/officeDocument/2006/relationships/hyperlink" Target="https://leetcode.com/problems/clone-graph/" TargetMode="External" Id="rId113"/><Relationship Type="http://schemas.openxmlformats.org/officeDocument/2006/relationships/hyperlink" Target="https://leetcode.com/problems/word-ladder/" TargetMode="External" Id="rId114"/><Relationship Type="http://schemas.openxmlformats.org/officeDocument/2006/relationships/hyperlink" Target="https://leetcode.com/problems/rotting-oranges/" TargetMode="External" Id="rId115"/><Relationship Type="http://schemas.openxmlformats.org/officeDocument/2006/relationships/hyperlink" Target="https://leetcode.com/problems/pacific-atlantic-water-flow/" TargetMode="External" Id="rId116"/><Relationship Type="http://schemas.openxmlformats.org/officeDocument/2006/relationships/hyperlink" Target="https://leetcode.com/problems/shortest-path-in-a-grid-with-obstacles-elimination/" TargetMode="External" Id="rId117"/><Relationship Type="http://schemas.openxmlformats.org/officeDocument/2006/relationships/hyperlink" Target="https://leetcode.com/problems/course-schedule/" TargetMode="External" Id="rId118"/><Relationship Type="http://schemas.openxmlformats.org/officeDocument/2006/relationships/hyperlink" Target="https://leetcode.com/problems/course-schedule-ii/" TargetMode="External" Id="rId119"/><Relationship Type="http://schemas.openxmlformats.org/officeDocument/2006/relationships/hyperlink" Target="https://leetcode.com/problems/critical-connections-in-a-network/" TargetMode="External" Id="rId120"/><Relationship Type="http://schemas.openxmlformats.org/officeDocument/2006/relationships/hyperlink" Target="https://leetcode.com/problems/redundant-connection/" TargetMode="External" Id="rId121"/><Relationship Type="http://schemas.openxmlformats.org/officeDocument/2006/relationships/hyperlink" Target="https://leetcode.com/problems/number-of-provinces/" TargetMode="External" Id="rId122"/><Relationship Type="http://schemas.openxmlformats.org/officeDocument/2006/relationships/hyperlink" Target="https://leetcode.com/problems/redundant-connection-ii/" TargetMode="External" Id="rId123"/><Relationship Type="http://schemas.openxmlformats.org/officeDocument/2006/relationships/hyperlink" Target="https://leetcode.com/problems/surrounded-regions/" TargetMode="External" Id="rId124"/><Relationship Type="http://schemas.openxmlformats.org/officeDocument/2006/relationships/hyperlink" Target="https://leetcode.com/problems/open-the-lock/" TargetMode="External" Id="rId125"/><Relationship Type="http://schemas.openxmlformats.org/officeDocument/2006/relationships/hyperlink" Target="https://leetcode.com/problems/bus-routes/" TargetMode="External" Id="rId126"/><Relationship Type="http://schemas.openxmlformats.org/officeDocument/2006/relationships/hyperlink" Target="https://leetcode.com/problems/implement-trie-prefix-tree/" TargetMode="External" Id="rId127"/><Relationship Type="http://schemas.openxmlformats.org/officeDocument/2006/relationships/hyperlink" Target="https://leetcode.com/problems/design-add-and-search-words-data-structure/" TargetMode="External" Id="rId128"/><Relationship Type="http://schemas.openxmlformats.org/officeDocument/2006/relationships/hyperlink" Target="https://leetcode.com/problems/word-search-ii/" TargetMode="External" Id="rId129"/><Relationship Type="http://schemas.openxmlformats.org/officeDocument/2006/relationships/hyperlink" Target="https://leetcode.com/problems/search-suggestions-system/" TargetMode="External" Id="rId130"/><Relationship Type="http://schemas.openxmlformats.org/officeDocument/2006/relationships/hyperlink" Target="https://leetcode.com/problems/replace-words/" TargetMode="External" Id="rId131"/><Relationship Type="http://schemas.openxmlformats.org/officeDocument/2006/relationships/hyperlink" Target="https://leetcode.com/problems/palindrome-pairs/" TargetMode="External" Id="rId132"/><Relationship Type="http://schemas.openxmlformats.org/officeDocument/2006/relationships/hyperlink" Target="https://leetcode.com/problems/merge-intervals/" TargetMode="External" Id="rId133"/><Relationship Type="http://schemas.openxmlformats.org/officeDocument/2006/relationships/hyperlink" Target="https://leetcode.com/problems/insert-interval/" TargetMode="External" Id="rId134"/><Relationship Type="http://schemas.openxmlformats.org/officeDocument/2006/relationships/hyperlink" Target="https://leetcode.com/problems/the-skyline-problem/" TargetMode="External" Id="rId135"/><Relationship Type="http://schemas.openxmlformats.org/officeDocument/2006/relationships/hyperlink" Target="https://leetcode.com/problems/non-overlapping-intervals/" TargetMode="External" Id="rId136"/><Relationship Type="http://schemas.openxmlformats.org/officeDocument/2006/relationships/hyperlink" Target="https://leetcode.com/problems/minimum-number-of-arrows-to-burst-balloons/" TargetMode="External" Id="rId137"/><Relationship Type="http://schemas.openxmlformats.org/officeDocument/2006/relationships/hyperlink" Target="https://leetcode.com/problems/minimum-interval-to-include-each-query/" TargetMode="External" Id="rId138"/><Relationship Type="http://schemas.openxmlformats.org/officeDocument/2006/relationships/hyperlink" Target="https://leetcode.com/problems/sum-of-two-integers/" TargetMode="External" Id="rId139"/><Relationship Type="http://schemas.openxmlformats.org/officeDocument/2006/relationships/hyperlink" Target="https://leetcode.com/problems/single-number-ii/" TargetMode="External" Id="rId140"/><Relationship Type="http://schemas.openxmlformats.org/officeDocument/2006/relationships/hyperlink" Target="https://leetcode.com/problems/maximum-xor-with-an-element-from-array/" TargetMode="External" Id="rId141"/><Relationship Type="http://schemas.openxmlformats.org/officeDocument/2006/relationships/hyperlink" Target="https://leetcode.com/problems/network-delay-time/" TargetMode="External" Id="rId142"/><Relationship Type="http://schemas.openxmlformats.org/officeDocument/2006/relationships/hyperlink" Target="https://leetcode.com/problems/cheapest-flights-within-k-stops/" TargetMode="External" Id="rId143"/><Relationship Type="http://schemas.openxmlformats.org/officeDocument/2006/relationships/hyperlink" Target="https://leetcode.com/problems/swim-in-rising-water/" TargetMode="External" Id="rId144"/><Relationship Type="http://schemas.openxmlformats.org/officeDocument/2006/relationships/hyperlink" Target="https://leetcode.com/problems/maximum-xor-of-two-numbers-in-an-array/" TargetMode="External" Id="rId145"/><Relationship Type="http://schemas.openxmlformats.org/officeDocument/2006/relationships/hyperlink" Target="https://leetcode.com/problems/bitwise-and-of-numbers-range/" TargetMode="External" Id="rId146"/><Relationship Type="http://schemas.openxmlformats.org/officeDocument/2006/relationships/hyperlink" Target="https://leetcode.com/problems/shortest-path-visiting-all-nodes/" TargetMode="External" Id="rId147"/><Relationship Type="http://schemas.openxmlformats.org/officeDocument/2006/relationships/hyperlink" Target="https://leetcode.com/problems/house-robber-ii/" TargetMode="External" Id="rId148"/><Relationship Type="http://schemas.openxmlformats.org/officeDocument/2006/relationships/hyperlink" Target="https://leetcode.com/problems/coin-change/" TargetMode="External" Id="rId149"/><Relationship Type="http://schemas.openxmlformats.org/officeDocument/2006/relationships/hyperlink" Target="https://leetcode.com/problems/burst-balloons/" TargetMode="External" Id="rId150"/><Relationship Type="http://schemas.openxmlformats.org/officeDocument/2006/relationships/hyperlink" Target="https://leetcode.com/problems/longest-palindromic-substring/" TargetMode="External" Id="rId151"/><Relationship Type="http://schemas.openxmlformats.org/officeDocument/2006/relationships/hyperlink" Target="https://leetcode.com/problems/decode-ways/" TargetMode="External" Id="rId152"/><Relationship Type="http://schemas.openxmlformats.org/officeDocument/2006/relationships/hyperlink" Target="https://leetcode.com/problems/regular-expression-matching/" TargetMode="External" Id="rId153"/><Relationship Type="http://schemas.openxmlformats.org/officeDocument/2006/relationships/hyperlink" Target="https://leetcode.com/problems/word-break/" TargetMode="External" Id="rId154"/><Relationship Type="http://schemas.openxmlformats.org/officeDocument/2006/relationships/hyperlink" Target="https://leetcode.com/problems/longest-increasing-subsequence/" TargetMode="External" Id="rId155"/><Relationship Type="http://schemas.openxmlformats.org/officeDocument/2006/relationships/hyperlink" Target="https://leetcode.com/problems/russian-doll-envelopes/" TargetMode="External" Id="rId156"/><Relationship Type="http://schemas.openxmlformats.org/officeDocument/2006/relationships/hyperlink" Target="https://leetcode.com/problems/partition-equal-subset-sum/" TargetMode="External" Id="rId157"/><Relationship Type="http://schemas.openxmlformats.org/officeDocument/2006/relationships/hyperlink" Target="https://leetcode.com/problems/maximum-product-subarray/" TargetMode="External" Id="rId158"/><Relationship Type="http://schemas.openxmlformats.org/officeDocument/2006/relationships/hyperlink" Target="https://leetcode.com/problems/distinct-subsequences/" TargetMode="External" Id="rId159"/><Relationship Type="http://schemas.openxmlformats.org/officeDocument/2006/relationships/hyperlink" Target="https://leetcode.com/problems/unique-paths/" TargetMode="External" Id="rId160"/><Relationship Type="http://schemas.openxmlformats.org/officeDocument/2006/relationships/hyperlink" Target="https://leetcode.com/problems/longest-common-subsequence/" TargetMode="External" Id="rId161"/><Relationship Type="http://schemas.openxmlformats.org/officeDocument/2006/relationships/hyperlink" Target="https://leetcode.com/problems/wildcard-matching/" TargetMode="External" Id="rId162"/><Relationship Type="http://schemas.openxmlformats.org/officeDocument/2006/relationships/hyperlink" Target="https://leetcode.com/problems/best-time-to-buy-and-sell-stock-with-cooldown/" TargetMode="External" Id="rId163"/><Relationship Type="http://schemas.openxmlformats.org/officeDocument/2006/relationships/hyperlink" Target="https://leetcode.com/problems/coin-change-ii/" TargetMode="External" Id="rId164"/><Relationship Type="http://schemas.openxmlformats.org/officeDocument/2006/relationships/hyperlink" Target="https://leetcode.com/problems/best-time-to-buy-and-sell-stock-iii/" TargetMode="External" Id="rId165"/><Relationship Type="http://schemas.openxmlformats.org/officeDocument/2006/relationships/hyperlink" Target="https://leetcode.com/problems/target-sum/" TargetMode="External" Id="rId166"/><Relationship Type="http://schemas.openxmlformats.org/officeDocument/2006/relationships/hyperlink" Target="https://leetcode.com/problems/interleaving-string/" TargetMode="External" Id="rId167"/><Relationship Type="http://schemas.openxmlformats.org/officeDocument/2006/relationships/hyperlink" Target="https://leetcode.com/problems/longest-increasing-path-in-a-matrix/" TargetMode="External" Id="rId168"/><Relationship Type="http://schemas.openxmlformats.org/officeDocument/2006/relationships/hyperlink" Target="https://leetcode.com/problems/edit-distance/" TargetMode="External" Id="rId169"/><Relationship Type="http://schemas.openxmlformats.org/officeDocument/2006/relationships/hyperlink" Target="https://leetcode.com/problems/maximal-square/" TargetMode="External" Id="rId170"/><Relationship Type="http://schemas.openxmlformats.org/officeDocument/2006/relationships/hyperlink" Target="https://leetcode.com/problems/maximum-profit-in-job-scheduling/" TargetMode="External" Id="rId171"/><Relationship Type="http://schemas.openxmlformats.org/officeDocument/2006/relationships/hyperlink" Target="https://leetcode.com/problems/subsets/" TargetMode="External" Id="rId172"/><Relationship Type="http://schemas.openxmlformats.org/officeDocument/2006/relationships/hyperlink" Target="https://leetcode.com/problems/combination-sum/" TargetMode="External" Id="rId173"/><Relationship Type="http://schemas.openxmlformats.org/officeDocument/2006/relationships/hyperlink" Target="https://leetcode.com/problems/n-queens/" TargetMode="External" Id="rId174"/><Relationship Type="http://schemas.openxmlformats.org/officeDocument/2006/relationships/hyperlink" Target="https://leetcode.com/problems/permutations/" TargetMode="External" Id="rId175"/><Relationship Type="http://schemas.openxmlformats.org/officeDocument/2006/relationships/hyperlink" Target="https://leetcode.com/problems/palindrome-partitioning/" TargetMode="External" Id="rId176"/><Relationship Type="http://schemas.openxmlformats.org/officeDocument/2006/relationships/hyperlink" Target="https://leetcode.com/problems/sudoku-solver/" TargetMode="External" Id="rId177"/><Relationship Type="http://schemas.openxmlformats.org/officeDocument/2006/relationships/hyperlink" Target="https://leetcode.com/problems/word-search/" TargetMode="External" Id="rId178"/><Relationship Type="http://schemas.openxmlformats.org/officeDocument/2006/relationships/hyperlink" Target="https://leetcode.com/problems/letter-combinations-of-a-phone-number/" TargetMode="External" Id="rId179"/><Relationship Type="http://schemas.openxmlformats.org/officeDocument/2006/relationships/hyperlink" Target="https://leetcode.com/problems/word-break-ii/" TargetMode="External" Id="rId180"/><Relationship Type="http://schemas.openxmlformats.org/officeDocument/2006/relationships/hyperlink" Target="https://leetcode.com/problems/jump-game/" TargetMode="External" Id="rId181"/><Relationship Type="http://schemas.openxmlformats.org/officeDocument/2006/relationships/hyperlink" Target="https://leetcode.com/problems/gas-station/" TargetMode="External" Id="rId182"/><Relationship Type="http://schemas.openxmlformats.org/officeDocument/2006/relationships/hyperlink" Target="https://leetcode.com/problems/candy/" TargetMode="External" Id="rId183"/><Relationship Type="http://schemas.openxmlformats.org/officeDocument/2006/relationships/hyperlink" Target="https://leetcode.com/problems/jump-game-ii/" TargetMode="External" Id="rId184"/><Relationship Type="http://schemas.openxmlformats.org/officeDocument/2006/relationships/hyperlink" Target="https://leetcode.com/problems/partition-labels/" TargetMode="External" Id="rId185"/><Relationship Type="http://schemas.openxmlformats.org/officeDocument/2006/relationships/hyperlink" Target="https://leetcode.com/problems/course-schedule-iii/" TargetMode="External" Id="rId186"/><Relationship Type="http://schemas.openxmlformats.org/officeDocument/2006/relationships/hyperlink" Target="https://leetcode.com/problems/hand-of-straights/" TargetMode="External" Id="rId187"/><Relationship Type="http://schemas.openxmlformats.org/officeDocument/2006/relationships/hyperlink" Target="https://leetcode.com/problems/valid-parenthesis-string/" TargetMode="External" Id="rId188"/><Relationship Type="http://schemas.openxmlformats.org/officeDocument/2006/relationships/hyperlink" Target="https://leetcode.com/problems/patching-array/" TargetMode="External" Id="rId189"/><Relationship Type="http://schemas.openxmlformats.org/officeDocument/2006/relationships/hyperlink" Target="https://leetcode.com/problems/brick-wall/" TargetMode="External" Id="rId190"/><Relationship Type="http://schemas.openxmlformats.org/officeDocument/2006/relationships/hyperlink" Target="https://leetcode.com/problems/find-all-anagrams-in-a-string/" TargetMode="External" Id="rId191"/><Relationship Type="http://schemas.openxmlformats.org/officeDocument/2006/relationships/hyperlink" Target="https://leetcode.com/problems/longest-duplicate-substring/" TargetMode="External" Id="rId192"/><Relationship Type="http://schemas.openxmlformats.org/officeDocument/2006/relationships/hyperlink" Target="https://leetcode.com/problems/is-graph-bipartite/" TargetMode="External" Id="rId193"/><Relationship Type="http://schemas.openxmlformats.org/officeDocument/2006/relationships/hyperlink" Target="https://leetcode.com/problems/evaluate-division/" TargetMode="External" Id="rId194"/><Relationship Type="http://schemas.openxmlformats.org/officeDocument/2006/relationships/hyperlink" Target="https://leetcode.com/problems/reconstruct-itinerary/" TargetMode="External" Id="rId195"/><Relationship Type="http://schemas.openxmlformats.org/officeDocument/2006/relationships/hyperlink" Target="https://leetcode.com/problems/insert-delete-getrandom-o1/" TargetMode="External" Id="rId196"/><Relationship Type="http://schemas.openxmlformats.org/officeDocument/2006/relationships/hyperlink" Target="https://leetcode.com/problems/snapshot-array/" TargetMode="External" Id="rId197"/><Relationship Type="http://schemas.openxmlformats.org/officeDocument/2006/relationships/hyperlink" Target="https://leetcode.com/problems/maximum-frequency-stack/" TargetMode="External" Id="rId198"/><Relationship Type="http://schemas.openxmlformats.org/officeDocument/2006/relationships/hyperlink" Target="https://leetcode.com/problems/set-matrix-zeroes/" TargetMode="External" Id="rId199"/><Relationship Type="http://schemas.openxmlformats.org/officeDocument/2006/relationships/hyperlink" Target="https://leetcode.com/problems/game-of-life/" TargetMode="External" Id="rId200"/><Relationship Type="http://schemas.openxmlformats.org/officeDocument/2006/relationships/hyperlink" Target="https://leetcode.com/problems/smallest-range-covering-elements-from-k-lists/" TargetMode="External" Id="rId201"/><Relationship Type="http://schemas.openxmlformats.org/officeDocument/2006/relationships/hyperlink" Target="https://leetcode.com/problems/string-to-integer-atoi/" TargetMode="External" Id="rId202"/><Relationship Type="http://schemas.openxmlformats.org/officeDocument/2006/relationships/hyperlink" Target="https://leetcode.com/problems/multiply-strings/" TargetMode="External" Id="rId203"/><Relationship Type="http://schemas.openxmlformats.org/officeDocument/2006/relationships/hyperlink" Target="https://leetcode.com/problems/text-justification/" TargetMode="External" Id="rId204"/><Relationship Type="http://schemas.openxmlformats.org/officeDocument/2006/relationships/hyperlink" Target="https://leetcode.com/problems/maximum-subarray/" TargetMode="External" Id="rId205"/><Relationship Type="http://schemas.openxmlformats.org/officeDocument/2006/relationships/hyperlink" Target="https://leetcode.com/problems/maximum-sum-circular-subarray/" TargetMode="External" Id="rId206"/><Relationship Type="http://schemas.openxmlformats.org/officeDocument/2006/relationships/hyperlink" Target="https://leetcode.com/problems/max-sum-of-rectangle-no-larger-than-k/" TargetMode="External" Id="rId207"/><Relationship Type="http://schemas.openxmlformats.org/officeDocument/2006/relationships/hyperlink" Target="https://leetcode.com/problems/integer-to-roman/" TargetMode="External" Id="rId208"/><Relationship Type="http://schemas.openxmlformats.org/officeDocument/2006/relationships/hyperlink" Target="https://leetcode.com/problems/powx-n/" TargetMode="External" Id="rId209"/><Relationship Type="http://schemas.openxmlformats.org/officeDocument/2006/relationships/hyperlink" Target="https://leetcode.com/problems/integer-to-english-words/" TargetMode="External" Id="rId210"/><Relationship Type="http://schemas.openxmlformats.org/officeDocument/2006/relationships/hyperlink" Target="https://leetcode.com/problems/4sum-ii/" TargetMode="External" Id="rId211"/><Relationship Type="http://schemas.openxmlformats.org/officeDocument/2006/relationships/hyperlink" Target="https://leetcode.com/problems/longest-palindrome-by-concatenating-two-letter-words/" TargetMode="External" Id="rId212"/><Relationship Type="http://schemas.openxmlformats.org/officeDocument/2006/relationships/hyperlink" Target="https://leetcode.com/problems/substring-with-largest-variance/" TargetMode="External" Id="rId213"/><Relationship Type="http://schemas.openxmlformats.org/officeDocument/2006/relationships/hyperlink" Target="https://leetcode.com/problems/reorder-routes-to-make-all-paths-lead-to-the-city-zero/" TargetMode="External" Id="rId214"/><Relationship Type="http://schemas.openxmlformats.org/officeDocument/2006/relationships/hyperlink" Target="https://leetcode.com/problems/keys-and-rooms/" TargetMode="External" Id="rId215"/><Relationship Type="http://schemas.openxmlformats.org/officeDocument/2006/relationships/hyperlink" Target="https://leetcode.com/problems/minimum-cost-to-make-at-least-one-valid-path-in-a-grid/" TargetMode="External" Id="rId216"/><Relationship Type="http://schemas.openxmlformats.org/officeDocument/2006/relationships/hyperlink" Target="https://leetcode.com/problems/increasing-triplet-subsequence/" TargetMode="External" Id="rId217"/><Relationship Type="http://schemas.openxmlformats.org/officeDocument/2006/relationships/hyperlink" Target="https://leetcode.com/problems/max-number-of-k-sum-pairs/" TargetMode="External" Id="rId218"/><Relationship Type="http://schemas.openxmlformats.org/officeDocument/2006/relationships/hyperlink" Target="https://leetcode.com/problems/sliding-puzzle/" TargetMode="External" Id="rId219"/><Relationship Type="http://schemas.openxmlformats.org/officeDocument/2006/relationships/hyperlink" Target="https://leetcode.com/problems/string-compression/" TargetMode="External" Id="rId220"/><Relationship Type="http://schemas.openxmlformats.org/officeDocument/2006/relationships/hyperlink" Target="https://leetcode.com/problems/longest-subarray-of-1s-after-deleting-one-element/" TargetMode="External" Id="rId221"/><Relationship Type="http://schemas.openxmlformats.org/officeDocument/2006/relationships/hyperlink" Target="https://leetcode.com/problems/minimum-cost-to-hire-k-workers/" TargetMode="External" Id="rId222"/><Relationship Type="http://schemas.openxmlformats.org/officeDocument/2006/relationships/hyperlink" Target="https://leetcode.com/problems/removing-stars-from-a-string/" TargetMode="External" Id="rId223"/><Relationship Type="http://schemas.openxmlformats.org/officeDocument/2006/relationships/hyperlink" Target="https://leetcode.com/problems/successful-pairs-of-spells-and-potions/" TargetMode="External" Id="rId224"/><Relationship Type="http://schemas.openxmlformats.org/officeDocument/2006/relationships/hyperlink" Target="https://leetcode.com/problems/trapping-rain-water-ii/" TargetMode="External" Id="rId225"/></Relationships>
</file>

<file path=xl/worksheets/sheet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s>
  <sheetData>
    <row r="1">
      <c r="A1" s="1" t="inlineStr">
        <is>
          <t>75-Day SDE Plan</t>
        </is>
      </c>
    </row>
    <row r="2">
      <c r="A2" s="2" t="inlineStr">
        <is>
          <t>Mon 28 Sep 2026 → Fri 11 Dec 2026  ·  tick ✓ in the Tracker sheet; everything here updates</t>
        </is>
      </c>
    </row>
    <row r="4">
      <c r="A4" s="3" t="inlineStr">
        <is>
          <t>Overall progress (tasks)</t>
        </is>
      </c>
      <c r="B4" s="4">
        <f>SUM(Tracker!R2:R76)/SUM(Tracker!S2:S76)</f>
        <v/>
      </c>
    </row>
    <row r="5">
      <c r="A5" s="3" t="inlineStr">
        <is>
          <t>Days completed</t>
        </is>
      </c>
      <c r="B5" s="5">
        <f>COUNTIF(Tracker!U2:U76,"Completed")</f>
        <v/>
      </c>
    </row>
    <row r="6">
      <c r="A6" s="3" t="inlineStr">
        <is>
          <t>Days partial</t>
        </is>
      </c>
      <c r="B6" s="5">
        <f>COUNTIF(Tracker!U2:U76,"Partial")</f>
        <v/>
      </c>
    </row>
    <row r="7">
      <c r="A7" s="3" t="inlineStr">
        <is>
          <t>Days missed</t>
        </is>
      </c>
      <c r="B7" s="5">
        <f>COUNTIF(Tracker!U2:U76,"Missed")</f>
        <v/>
      </c>
    </row>
    <row r="8">
      <c r="A8" s="3" t="inlineStr">
        <is>
          <t>Today is plan day</t>
        </is>
      </c>
      <c r="B8" s="5">
        <f>IFERROR(MATCH(TODAY(),Tracker!B2:B76,0),"-")</f>
        <v/>
      </c>
    </row>
    <row r="9">
      <c r="A9" s="3" t="inlineStr">
        <is>
          <t>LeetCode solved (of 225)</t>
        </is>
      </c>
      <c r="B9" s="5">
        <f>COUNTIF(LeetCode!G2:G226,"Yes")</f>
        <v/>
      </c>
    </row>
    <row r="10">
      <c r="A10" s="3" t="inlineStr">
        <is>
          <t>LeetCode marked ↻ revisit</t>
        </is>
      </c>
      <c r="B10" s="5">
        <f>COUNTIF(LeetCode!H2:H226,"↻")</f>
        <v/>
      </c>
    </row>
    <row r="11">
      <c r="A11" s="3" t="inlineStr">
        <is>
          <t>SQL questions done (of 75)</t>
        </is>
      </c>
      <c r="B11" s="5">
        <f>COUNTIF(Tracker!H2:H76,"✓")</f>
        <v/>
      </c>
    </row>
    <row r="12">
      <c r="A12" s="3" t="inlineStr">
        <is>
          <t>Design questions done (of 75)</t>
        </is>
      </c>
      <c r="B12" s="5">
        <f>COUNTIF(Tracker!I2:I76,"✓")</f>
        <v/>
      </c>
    </row>
    <row r="13">
      <c r="A13" s="3" t="inlineStr">
        <is>
          <t>HLD reads done</t>
        </is>
      </c>
      <c r="B13" s="5">
        <f>COUNTIF(Tracker!J2:J76,"✓")</f>
        <v/>
      </c>
    </row>
    <row r="14">
      <c r="A14" s="3" t="inlineStr">
        <is>
          <t>LLD builds done</t>
        </is>
      </c>
      <c r="B14" s="5">
        <f>COUNTIF(Tracker!K2:K76,"✓")</f>
        <v/>
      </c>
    </row>
    <row r="15">
      <c r="A15" s="3" t="inlineStr">
        <is>
          <t>Cloud labs done</t>
        </is>
      </c>
      <c r="B15" s="5">
        <f>COUNTIF(Tracker!L2:L76,"✓")</f>
        <v/>
      </c>
    </row>
    <row r="16">
      <c r="A16" s="3" t="inlineStr">
        <is>
          <t>Walk / exercise days</t>
        </is>
      </c>
      <c r="B16" s="5">
        <f>COUNTIF(Tracker!M2:M76,"✓")</f>
        <v/>
      </c>
    </row>
    <row r="17">
      <c r="A17" s="3" t="inlineStr">
        <is>
          <t>Water goal days (2.5 L+)</t>
        </is>
      </c>
      <c r="B17" s="5">
        <f>COUNTIF(Tracker!N2:N76,"&gt;=2.5")</f>
        <v/>
      </c>
    </row>
    <row r="18">
      <c r="A18" s="3" t="inlineStr">
        <is>
          <t>Q&amp;A marked known (of 900)</t>
        </is>
      </c>
      <c r="B18" s="5">
        <f>COUNTIF('Q&amp;A'!G2:G901,"✓")</f>
        <v/>
      </c>
    </row>
    <row r="20">
      <c r="A20" s="6" t="inlineStr">
        <is>
          <t>Phase</t>
        </is>
      </c>
      <c r="B20" s="6" t="inlineStr">
        <is>
          <t>Days</t>
        </is>
      </c>
      <c r="C20" s="6" t="inlineStr">
        <is>
          <t>Progress</t>
        </is>
      </c>
      <c r="D20" s="6" t="inlineStr">
        <is>
          <t>Completed days</t>
        </is>
      </c>
    </row>
    <row r="21">
      <c r="A21" t="inlineStr">
        <is>
          <t>1 · Foundations</t>
        </is>
      </c>
      <c r="B21" t="inlineStr">
        <is>
          <t>1–25</t>
        </is>
      </c>
      <c r="C21" s="7">
        <f>SUM(Tracker!R2:R26)/SUM(Tracker!S2:S26)</f>
        <v/>
      </c>
      <c r="D21">
        <f>COUNTIF(Tracker!U2:U26,"Completed")</f>
        <v/>
      </c>
    </row>
    <row r="22">
      <c r="A22" t="inlineStr">
        <is>
          <t>2 · Build and apply</t>
        </is>
      </c>
      <c r="B22" t="inlineStr">
        <is>
          <t>26–50</t>
        </is>
      </c>
      <c r="C22" s="7">
        <f>SUM(Tracker!R27:R51)/SUM(Tracker!S27:S51)</f>
        <v/>
      </c>
      <c r="D22">
        <f>COUNTIF(Tracker!U27:U51,"Completed")</f>
        <v/>
      </c>
    </row>
    <row r="23">
      <c r="A23" t="inlineStr">
        <is>
          <t>3 · Azure and interview mode</t>
        </is>
      </c>
      <c r="B23" t="inlineStr">
        <is>
          <t>51–75</t>
        </is>
      </c>
      <c r="C23" s="7">
        <f>SUM(Tracker!R52:R76)/SUM(Tracker!S52:S76)</f>
        <v/>
      </c>
      <c r="D23">
        <f>COUNTIF(Tracker!U52:U76,"Completed")</f>
        <v/>
      </c>
    </row>
  </sheetData>
  <conditionalFormatting sqref="C21:C23">
    <cfRule type="dataBar" priority="1">
      <dataBar>
        <cfvo type="num" val="0"/>
        <cfvo type="num" val="1"/>
        <color rgb="0015803D"/>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3" customWidth="1" min="2" max="2"/>
    <col width="15" customWidth="1" min="3" max="3"/>
    <col width="30" customWidth="1" min="4" max="4"/>
    <col width="7" customWidth="1" min="5" max="5"/>
    <col width="7" customWidth="1" min="6" max="6"/>
    <col width="7" customWidth="1" min="7" max="7"/>
    <col width="6" customWidth="1" min="8" max="8"/>
    <col width="7" customWidth="1" min="9" max="9"/>
    <col width="6" customWidth="1" min="10" max="10"/>
    <col width="6" customWidth="1" min="11" max="11"/>
    <col width="7" customWidth="1" min="12" max="12"/>
    <col width="6" customWidth="1" min="13" max="13"/>
    <col width="8" customWidth="1" min="14" max="14"/>
    <col width="6" customWidth="1" min="15" max="15"/>
    <col width="6" customWidth="1" min="16" max="16"/>
    <col width="6" customWidth="1" min="17" max="17"/>
    <col width="6" customWidth="1" min="18" max="18"/>
    <col width="5" customWidth="1" min="19" max="19"/>
    <col width="7" customWidth="1" min="20" max="20"/>
    <col width="12" customWidth="1" min="21" max="21"/>
    <col width="30" customWidth="1" min="22" max="22"/>
  </cols>
  <sheetData>
    <row r="1" ht="30" customHeight="1">
      <c r="A1" s="8" t="inlineStr">
        <is>
          <t>Day</t>
        </is>
      </c>
      <c r="B1" s="8" t="inlineStr">
        <is>
          <t>Date</t>
        </is>
      </c>
      <c r="C1" s="8" t="inlineStr">
        <is>
          <t>Type</t>
        </is>
      </c>
      <c r="D1" s="8" t="inlineStr">
        <is>
          <t>Theme</t>
        </is>
      </c>
      <c r="E1" s="8" t="inlineStr">
        <is>
          <t>LC 1 (M)</t>
        </is>
      </c>
      <c r="F1" s="8" t="inlineStr">
        <is>
          <t>LC 2 (M)</t>
        </is>
      </c>
      <c r="G1" s="8" t="inlineStr">
        <is>
          <t>LC 3 (H)</t>
        </is>
      </c>
      <c r="H1" s="8" t="inlineStr">
        <is>
          <t>SQL</t>
        </is>
      </c>
      <c r="I1" s="8" t="inlineStr">
        <is>
          <t>Design</t>
        </is>
      </c>
      <c r="J1" s="8" t="inlineStr">
        <is>
          <t>HLD</t>
        </is>
      </c>
      <c r="K1" s="8" t="inlineStr">
        <is>
          <t>LLD</t>
        </is>
      </c>
      <c r="L1" s="8" t="inlineStr">
        <is>
          <t>Cloud</t>
        </is>
      </c>
      <c r="M1" s="8" t="inlineStr">
        <is>
          <t>Walk</t>
        </is>
      </c>
      <c r="N1" s="8" t="inlineStr">
        <is>
          <t>Water (L)</t>
        </is>
      </c>
      <c r="O1" s="8" t="inlineStr">
        <is>
          <t>Food</t>
        </is>
      </c>
      <c r="P1" s="8" t="inlineStr">
        <is>
          <t>Chill</t>
        </is>
      </c>
      <c r="Q1" s="8" t="inlineStr">
        <is>
          <t>Sleep</t>
        </is>
      </c>
      <c r="R1" s="8" t="inlineStr">
        <is>
          <t>Done</t>
        </is>
      </c>
      <c r="S1" s="8" t="inlineStr">
        <is>
          <t>Of</t>
        </is>
      </c>
      <c r="T1" s="8" t="inlineStr">
        <is>
          <t>%</t>
        </is>
      </c>
      <c r="U1" s="8" t="inlineStr">
        <is>
          <t>Status</t>
        </is>
      </c>
      <c r="V1" s="8" t="inlineStr">
        <is>
          <t>Notes</t>
        </is>
      </c>
    </row>
    <row r="2">
      <c r="A2" s="9" t="n">
        <v>1</v>
      </c>
      <c r="B2" s="10" t="n">
        <v>46293</v>
      </c>
      <c r="C2" s="9" t="inlineStr">
        <is>
          <t>Office day</t>
        </is>
      </c>
      <c r="D2" s="9" t="inlineStr">
        <is>
          <t>How the web works</t>
        </is>
      </c>
      <c r="E2" s="11" t="inlineStr"/>
      <c r="F2" s="11" t="inlineStr"/>
      <c r="G2" s="11" t="inlineStr"/>
      <c r="H2" s="11" t="inlineStr"/>
      <c r="I2" s="11" t="inlineStr"/>
      <c r="J2" s="11" t="inlineStr"/>
      <c r="K2" s="11" t="inlineStr"/>
      <c r="L2" s="11" t="inlineStr"/>
      <c r="M2" s="11" t="inlineStr"/>
      <c r="N2" s="11" t="inlineStr"/>
      <c r="O2" s="11" t="inlineStr"/>
      <c r="P2" s="11" t="inlineStr"/>
      <c r="Q2" s="11" t="inlineStr"/>
      <c r="R2" s="11">
        <f>COUNTIF(E2:M2,"✓")+COUNTIF(O2:Q2,"✓")+IF(N(N2)&gt;=2.5,1,0)</f>
        <v/>
      </c>
      <c r="S2" s="11" t="n">
        <v>13</v>
      </c>
      <c r="T2" s="12">
        <f>R2/S2</f>
        <v/>
      </c>
      <c r="U2" s="11">
        <f>IF(R2&gt;=S2,"Completed",IF(B2=TODAY(),"Today",IF(R2&gt;0,"Partial",IF(B2&gt;TODAY(),"Upcoming","Missed"))))</f>
        <v/>
      </c>
      <c r="V2" s="9" t="n"/>
    </row>
    <row r="3">
      <c r="A3" s="9" t="n">
        <v>2</v>
      </c>
      <c r="B3" s="10" t="n">
        <v>46294</v>
      </c>
      <c r="C3" s="9" t="inlineStr">
        <is>
          <t>Office day</t>
        </is>
      </c>
      <c r="D3" s="9" t="inlineStr">
        <is>
          <t>Scaling a server</t>
        </is>
      </c>
      <c r="E3" s="11" t="inlineStr"/>
      <c r="F3" s="11" t="inlineStr"/>
      <c r="G3" s="11" t="inlineStr"/>
      <c r="H3" s="11" t="inlineStr"/>
      <c r="I3" s="11" t="inlineStr"/>
      <c r="J3" s="11" t="inlineStr"/>
      <c r="K3" s="11" t="inlineStr"/>
      <c r="L3" s="11" t="inlineStr"/>
      <c r="M3" s="11" t="inlineStr"/>
      <c r="N3" s="11" t="inlineStr"/>
      <c r="O3" s="11" t="inlineStr"/>
      <c r="P3" s="11" t="inlineStr"/>
      <c r="Q3" s="11" t="inlineStr"/>
      <c r="R3" s="11">
        <f>COUNTIF(E3:M3,"✓")+COUNTIF(O3:Q3,"✓")+IF(N(N3)&gt;=2.5,1,0)</f>
        <v/>
      </c>
      <c r="S3" s="11" t="n">
        <v>13</v>
      </c>
      <c r="T3" s="12">
        <f>R3/S3</f>
        <v/>
      </c>
      <c r="U3" s="11">
        <f>IF(R3&gt;=S3,"Completed",IF(B3=TODAY(),"Today",IF(R3&gt;0,"Partial",IF(B3&gt;TODAY(),"Upcoming","Missed"))))</f>
        <v/>
      </c>
      <c r="V3" s="9" t="n"/>
    </row>
    <row r="4">
      <c r="A4" s="9" t="n">
        <v>3</v>
      </c>
      <c r="B4" s="10" t="n">
        <v>46295</v>
      </c>
      <c r="C4" s="9" t="inlineStr">
        <is>
          <t>Office day</t>
        </is>
      </c>
      <c r="D4" s="9" t="inlineStr">
        <is>
          <t>Load balancing</t>
        </is>
      </c>
      <c r="E4" s="11" t="inlineStr"/>
      <c r="F4" s="11" t="inlineStr"/>
      <c r="G4" s="11" t="inlineStr"/>
      <c r="H4" s="11" t="inlineStr"/>
      <c r="I4" s="11" t="inlineStr"/>
      <c r="J4" s="11" t="inlineStr"/>
      <c r="K4" s="11" t="inlineStr"/>
      <c r="L4" s="11" t="inlineStr"/>
      <c r="M4" s="11" t="inlineStr"/>
      <c r="N4" s="11" t="inlineStr"/>
      <c r="O4" s="11" t="inlineStr"/>
      <c r="P4" s="11" t="inlineStr"/>
      <c r="Q4" s="11" t="inlineStr"/>
      <c r="R4" s="11">
        <f>COUNTIF(E4:M4,"✓")+COUNTIF(O4:Q4,"✓")+IF(N(N4)&gt;=2.5,1,0)</f>
        <v/>
      </c>
      <c r="S4" s="11" t="n">
        <v>13</v>
      </c>
      <c r="T4" s="12">
        <f>R4/S4</f>
        <v/>
      </c>
      <c r="U4" s="11">
        <f>IF(R4&gt;=S4,"Completed",IF(B4=TODAY(),"Today",IF(R4&gt;0,"Partial",IF(B4&gt;TODAY(),"Upcoming","Missed"))))</f>
        <v/>
      </c>
      <c r="V4" s="9" t="n"/>
    </row>
    <row r="5">
      <c r="A5" s="9" t="n">
        <v>4</v>
      </c>
      <c r="B5" s="10" t="n">
        <v>46296</v>
      </c>
      <c r="C5" s="9" t="inlineStr">
        <is>
          <t>Office day</t>
        </is>
      </c>
      <c r="D5" s="9" t="inlineStr">
        <is>
          <t>Stateless services</t>
        </is>
      </c>
      <c r="E5" s="11" t="inlineStr"/>
      <c r="F5" s="11" t="inlineStr"/>
      <c r="G5" s="11" t="inlineStr"/>
      <c r="H5" s="11" t="inlineStr"/>
      <c r="I5" s="11" t="inlineStr"/>
      <c r="J5" s="11" t="inlineStr"/>
      <c r="K5" s="11" t="inlineStr"/>
      <c r="L5" s="11" t="inlineStr"/>
      <c r="M5" s="11" t="inlineStr"/>
      <c r="N5" s="11" t="inlineStr"/>
      <c r="O5" s="11" t="inlineStr"/>
      <c r="P5" s="11" t="inlineStr"/>
      <c r="Q5" s="11" t="inlineStr"/>
      <c r="R5" s="11">
        <f>COUNTIF(E5:M5,"✓")+COUNTIF(O5:Q5,"✓")+IF(N(N5)&gt;=2.5,1,0)</f>
        <v/>
      </c>
      <c r="S5" s="11" t="n">
        <v>13</v>
      </c>
      <c r="T5" s="12">
        <f>R5/S5</f>
        <v/>
      </c>
      <c r="U5" s="11">
        <f>IF(R5&gt;=S5,"Completed",IF(B5=TODAY(),"Today",IF(R5&gt;0,"Partial",IF(B5&gt;TODAY(),"Upcoming","Missed"))))</f>
        <v/>
      </c>
      <c r="V5" s="9" t="n"/>
    </row>
    <row r="6">
      <c r="A6" s="9" t="n">
        <v>5</v>
      </c>
      <c r="B6" s="10" t="n">
        <v>46297</v>
      </c>
      <c r="C6" s="9" t="inlineStr">
        <is>
          <t>Light Friday</t>
        </is>
      </c>
      <c r="D6" s="9" t="inlineStr">
        <is>
          <t>APIs</t>
        </is>
      </c>
      <c r="E6" s="11" t="inlineStr"/>
      <c r="F6" s="11" t="inlineStr"/>
      <c r="G6" s="11" t="inlineStr"/>
      <c r="H6" s="11" t="inlineStr"/>
      <c r="I6" s="11" t="inlineStr"/>
      <c r="J6" s="11" t="inlineStr"/>
      <c r="K6" s="11" t="inlineStr"/>
      <c r="L6" s="11" t="inlineStr"/>
      <c r="M6" s="11" t="inlineStr"/>
      <c r="N6" s="11" t="inlineStr"/>
      <c r="O6" s="11" t="inlineStr"/>
      <c r="P6" s="11" t="inlineStr"/>
      <c r="Q6" s="11" t="inlineStr"/>
      <c r="R6" s="11">
        <f>COUNTIF(E6:M6,"✓")+COUNTIF(O6:Q6,"✓")+IF(N(N6)&gt;=2.5,1,0)</f>
        <v/>
      </c>
      <c r="S6" s="11" t="n">
        <v>13</v>
      </c>
      <c r="T6" s="12">
        <f>R6/S6</f>
        <v/>
      </c>
      <c r="U6" s="11">
        <f>IF(R6&gt;=S6,"Completed",IF(B6=TODAY(),"Today",IF(R6&gt;0,"Partial",IF(B6&gt;TODAY(),"Upcoming","Missed"))))</f>
        <v/>
      </c>
      <c r="V6" s="9" t="n"/>
    </row>
    <row r="7">
      <c r="A7" s="9" t="n">
        <v>6</v>
      </c>
      <c r="B7" s="10" t="n">
        <v>46298</v>
      </c>
      <c r="C7" s="9" t="inlineStr">
        <is>
          <t>Build Saturday</t>
        </is>
      </c>
      <c r="D7" s="9" t="inlineStr">
        <is>
          <t>Build: 3-tier app</t>
        </is>
      </c>
      <c r="E7" s="11" t="inlineStr"/>
      <c r="F7" s="11" t="inlineStr"/>
      <c r="G7" s="11" t="inlineStr"/>
      <c r="H7" s="11" t="inlineStr"/>
      <c r="I7" s="11" t="inlineStr"/>
      <c r="J7" s="11" t="inlineStr"/>
      <c r="K7" s="11" t="inlineStr"/>
      <c r="L7" s="11" t="inlineStr"/>
      <c r="M7" s="11" t="inlineStr"/>
      <c r="N7" s="11" t="inlineStr"/>
      <c r="O7" s="11" t="inlineStr"/>
      <c r="P7" s="11" t="inlineStr"/>
      <c r="Q7" s="11" t="inlineStr"/>
      <c r="R7" s="11">
        <f>COUNTIF(E7:M7,"✓")+COUNTIF(O7:Q7,"✓")+IF(N(N7)&gt;=2.5,1,0)</f>
        <v/>
      </c>
      <c r="S7" s="11" t="n">
        <v>13</v>
      </c>
      <c r="T7" s="12">
        <f>R7/S7</f>
        <v/>
      </c>
      <c r="U7" s="11">
        <f>IF(R7&gt;=S7,"Completed",IF(B7=TODAY(),"Today",IF(R7&gt;0,"Partial",IF(B7&gt;TODAY(),"Upcoming","Missed"))))</f>
        <v/>
      </c>
      <c r="V7" s="9" t="n"/>
    </row>
    <row r="8">
      <c r="A8" s="9" t="n">
        <v>7</v>
      </c>
      <c r="B8" s="10" t="n">
        <v>46299</v>
      </c>
      <c r="C8" s="9" t="inlineStr">
        <is>
          <t>Review Sunday</t>
        </is>
      </c>
      <c r="D8" s="9" t="inlineStr">
        <is>
          <t>Review week 1</t>
        </is>
      </c>
      <c r="E8" s="11" t="inlineStr"/>
      <c r="F8" s="11" t="inlineStr"/>
      <c r="G8" s="11" t="inlineStr"/>
      <c r="H8" s="11" t="inlineStr"/>
      <c r="I8" s="11" t="inlineStr"/>
      <c r="J8" s="11" t="inlineStr"/>
      <c r="K8" s="11" t="inlineStr"/>
      <c r="L8" s="11" t="inlineStr"/>
      <c r="M8" s="11" t="inlineStr"/>
      <c r="N8" s="11" t="inlineStr"/>
      <c r="O8" s="11" t="inlineStr"/>
      <c r="P8" s="11" t="inlineStr"/>
      <c r="Q8" s="11" t="inlineStr"/>
      <c r="R8" s="11">
        <f>COUNTIF(E8:M8,"✓")+COUNTIF(O8:Q8,"✓")+IF(N(N8)&gt;=2.5,1,0)</f>
        <v/>
      </c>
      <c r="S8" s="11" t="n">
        <v>13</v>
      </c>
      <c r="T8" s="12">
        <f>R8/S8</f>
        <v/>
      </c>
      <c r="U8" s="11">
        <f>IF(R8&gt;=S8,"Completed",IF(B8=TODAY(),"Today",IF(R8&gt;0,"Partial",IF(B8&gt;TODAY(),"Upcoming","Missed"))))</f>
        <v/>
      </c>
      <c r="V8" s="9" t="n"/>
    </row>
    <row r="9">
      <c r="A9" s="9" t="n">
        <v>8</v>
      </c>
      <c r="B9" s="10" t="n">
        <v>46300</v>
      </c>
      <c r="C9" s="9" t="inlineStr">
        <is>
          <t>Office day</t>
        </is>
      </c>
      <c r="D9" s="9" t="inlineStr">
        <is>
          <t>Databases 101</t>
        </is>
      </c>
      <c r="E9" s="11" t="inlineStr"/>
      <c r="F9" s="11" t="inlineStr"/>
      <c r="G9" s="11" t="inlineStr"/>
      <c r="H9" s="11" t="inlineStr"/>
      <c r="I9" s="11" t="inlineStr"/>
      <c r="J9" s="11" t="inlineStr"/>
      <c r="K9" s="11" t="inlineStr"/>
      <c r="L9" s="11" t="inlineStr"/>
      <c r="M9" s="11" t="inlineStr"/>
      <c r="N9" s="11" t="inlineStr"/>
      <c r="O9" s="11" t="inlineStr"/>
      <c r="P9" s="11" t="inlineStr"/>
      <c r="Q9" s="11" t="inlineStr"/>
      <c r="R9" s="11">
        <f>COUNTIF(E9:M9,"✓")+COUNTIF(O9:Q9,"✓")+IF(N(N9)&gt;=2.5,1,0)</f>
        <v/>
      </c>
      <c r="S9" s="11" t="n">
        <v>13</v>
      </c>
      <c r="T9" s="12">
        <f>R9/S9</f>
        <v/>
      </c>
      <c r="U9" s="11">
        <f>IF(R9&gt;=S9,"Completed",IF(B9=TODAY(),"Today",IF(R9&gt;0,"Partial",IF(B9&gt;TODAY(),"Upcoming","Missed"))))</f>
        <v/>
      </c>
      <c r="V9" s="9" t="n"/>
    </row>
    <row r="10">
      <c r="A10" s="9" t="n">
        <v>9</v>
      </c>
      <c r="B10" s="10" t="n">
        <v>46301</v>
      </c>
      <c r="C10" s="9" t="inlineStr">
        <is>
          <t>Office day</t>
        </is>
      </c>
      <c r="D10" s="9" t="inlineStr">
        <is>
          <t>Indexing</t>
        </is>
      </c>
      <c r="E10" s="11" t="inlineStr"/>
      <c r="F10" s="11" t="inlineStr"/>
      <c r="G10" s="11" t="inlineStr"/>
      <c r="H10" s="11" t="inlineStr"/>
      <c r="I10" s="11" t="inlineStr"/>
      <c r="J10" s="11" t="inlineStr"/>
      <c r="K10" s="11" t="inlineStr"/>
      <c r="L10" s="11" t="inlineStr"/>
      <c r="M10" s="11" t="inlineStr"/>
      <c r="N10" s="11" t="inlineStr"/>
      <c r="O10" s="11" t="inlineStr"/>
      <c r="P10" s="11" t="inlineStr"/>
      <c r="Q10" s="11" t="inlineStr"/>
      <c r="R10" s="11">
        <f>COUNTIF(E10:M10,"✓")+COUNTIF(O10:Q10,"✓")+IF(N(N10)&gt;=2.5,1,0)</f>
        <v/>
      </c>
      <c r="S10" s="11" t="n">
        <v>13</v>
      </c>
      <c r="T10" s="12">
        <f>R10/S10</f>
        <v/>
      </c>
      <c r="U10" s="11">
        <f>IF(R10&gt;=S10,"Completed",IF(B10=TODAY(),"Today",IF(R10&gt;0,"Partial",IF(B10&gt;TODAY(),"Upcoming","Missed"))))</f>
        <v/>
      </c>
      <c r="V10" s="9" t="n"/>
    </row>
    <row r="11">
      <c r="A11" s="9" t="n">
        <v>10</v>
      </c>
      <c r="B11" s="10" t="n">
        <v>46302</v>
      </c>
      <c r="C11" s="9" t="inlineStr">
        <is>
          <t>Office day</t>
        </is>
      </c>
      <c r="D11" s="9" t="inlineStr">
        <is>
          <t>Replication</t>
        </is>
      </c>
      <c r="E11" s="11" t="inlineStr"/>
      <c r="F11" s="11" t="inlineStr"/>
      <c r="G11" s="11" t="inlineStr"/>
      <c r="H11" s="11" t="inlineStr"/>
      <c r="I11" s="11" t="inlineStr"/>
      <c r="J11" s="11" t="inlineStr"/>
      <c r="K11" s="11" t="inlineStr"/>
      <c r="L11" s="11" t="inlineStr"/>
      <c r="M11" s="11" t="inlineStr"/>
      <c r="N11" s="11" t="inlineStr"/>
      <c r="O11" s="11" t="inlineStr"/>
      <c r="P11" s="11" t="inlineStr"/>
      <c r="Q11" s="11" t="inlineStr"/>
      <c r="R11" s="11">
        <f>COUNTIF(E11:M11,"✓")+COUNTIF(O11:Q11,"✓")+IF(N(N11)&gt;=2.5,1,0)</f>
        <v/>
      </c>
      <c r="S11" s="11" t="n">
        <v>13</v>
      </c>
      <c r="T11" s="12">
        <f>R11/S11</f>
        <v/>
      </c>
      <c r="U11" s="11">
        <f>IF(R11&gt;=S11,"Completed",IF(B11=TODAY(),"Today",IF(R11&gt;0,"Partial",IF(B11&gt;TODAY(),"Upcoming","Missed"))))</f>
        <v/>
      </c>
      <c r="V11" s="9" t="n"/>
    </row>
    <row r="12">
      <c r="A12" s="9" t="n">
        <v>11</v>
      </c>
      <c r="B12" s="10" t="n">
        <v>46303</v>
      </c>
      <c r="C12" s="9" t="inlineStr">
        <is>
          <t>Office day</t>
        </is>
      </c>
      <c r="D12" s="9" t="inlineStr">
        <is>
          <t>Sharding</t>
        </is>
      </c>
      <c r="E12" s="11" t="inlineStr"/>
      <c r="F12" s="11" t="inlineStr"/>
      <c r="G12" s="11" t="inlineStr"/>
      <c r="H12" s="11" t="inlineStr"/>
      <c r="I12" s="11" t="inlineStr"/>
      <c r="J12" s="11" t="inlineStr"/>
      <c r="K12" s="11" t="inlineStr"/>
      <c r="L12" s="11" t="inlineStr"/>
      <c r="M12" s="11" t="inlineStr"/>
      <c r="N12" s="11" t="inlineStr"/>
      <c r="O12" s="11" t="inlineStr"/>
      <c r="P12" s="11" t="inlineStr"/>
      <c r="Q12" s="11" t="inlineStr"/>
      <c r="R12" s="11">
        <f>COUNTIF(E12:M12,"✓")+COUNTIF(O12:Q12,"✓")+IF(N(N12)&gt;=2.5,1,0)</f>
        <v/>
      </c>
      <c r="S12" s="11" t="n">
        <v>13</v>
      </c>
      <c r="T12" s="12">
        <f>R12/S12</f>
        <v/>
      </c>
      <c r="U12" s="11">
        <f>IF(R12&gt;=S12,"Completed",IF(B12=TODAY(),"Today",IF(R12&gt;0,"Partial",IF(B12&gt;TODAY(),"Upcoming","Missed"))))</f>
        <v/>
      </c>
      <c r="V12" s="9" t="n"/>
    </row>
    <row r="13">
      <c r="A13" s="9" t="n">
        <v>12</v>
      </c>
      <c r="B13" s="10" t="n">
        <v>46304</v>
      </c>
      <c r="C13" s="9" t="inlineStr">
        <is>
          <t>Light Friday</t>
        </is>
      </c>
      <c r="D13" s="9" t="inlineStr">
        <is>
          <t>Transactions</t>
        </is>
      </c>
      <c r="E13" s="11" t="inlineStr"/>
      <c r="F13" s="11" t="inlineStr"/>
      <c r="G13" s="11" t="inlineStr"/>
      <c r="H13" s="11" t="inlineStr"/>
      <c r="I13" s="11" t="inlineStr"/>
      <c r="J13" s="11" t="inlineStr"/>
      <c r="K13" s="11" t="inlineStr"/>
      <c r="L13" s="11" t="inlineStr"/>
      <c r="M13" s="11" t="inlineStr"/>
      <c r="N13" s="11" t="inlineStr"/>
      <c r="O13" s="11" t="inlineStr"/>
      <c r="P13" s="11" t="inlineStr"/>
      <c r="Q13" s="11" t="inlineStr"/>
      <c r="R13" s="11">
        <f>COUNTIF(E13:M13,"✓")+COUNTIF(O13:Q13,"✓")+IF(N(N13)&gt;=2.5,1,0)</f>
        <v/>
      </c>
      <c r="S13" s="11" t="n">
        <v>13</v>
      </c>
      <c r="T13" s="12">
        <f>R13/S13</f>
        <v/>
      </c>
      <c r="U13" s="11">
        <f>IF(R13&gt;=S13,"Completed",IF(B13=TODAY(),"Today",IF(R13&gt;0,"Partial",IF(B13&gt;TODAY(),"Upcoming","Missed"))))</f>
        <v/>
      </c>
      <c r="V13" s="9" t="n"/>
    </row>
    <row r="14">
      <c r="A14" s="9" t="n">
        <v>13</v>
      </c>
      <c r="B14" s="10" t="n">
        <v>46305</v>
      </c>
      <c r="C14" s="9" t="inlineStr">
        <is>
          <t>Build Saturday</t>
        </is>
      </c>
      <c r="D14" s="9" t="inlineStr">
        <is>
          <t>Build: library system</t>
        </is>
      </c>
      <c r="E14" s="11" t="inlineStr"/>
      <c r="F14" s="11" t="inlineStr"/>
      <c r="G14" s="11" t="inlineStr"/>
      <c r="H14" s="11" t="inlineStr"/>
      <c r="I14" s="11" t="inlineStr"/>
      <c r="J14" s="11" t="inlineStr"/>
      <c r="K14" s="11" t="inlineStr"/>
      <c r="L14" s="11" t="inlineStr"/>
      <c r="M14" s="11" t="inlineStr"/>
      <c r="N14" s="11" t="inlineStr"/>
      <c r="O14" s="11" t="inlineStr"/>
      <c r="P14" s="11" t="inlineStr"/>
      <c r="Q14" s="11" t="inlineStr"/>
      <c r="R14" s="11">
        <f>COUNTIF(E14:M14,"✓")+COUNTIF(O14:Q14,"✓")+IF(N(N14)&gt;=2.5,1,0)</f>
        <v/>
      </c>
      <c r="S14" s="11" t="n">
        <v>13</v>
      </c>
      <c r="T14" s="12">
        <f>R14/S14</f>
        <v/>
      </c>
      <c r="U14" s="11">
        <f>IF(R14&gt;=S14,"Completed",IF(B14=TODAY(),"Today",IF(R14&gt;0,"Partial",IF(B14&gt;TODAY(),"Upcoming","Missed"))))</f>
        <v/>
      </c>
      <c r="V14" s="9" t="n"/>
    </row>
    <row r="15">
      <c r="A15" s="9" t="n">
        <v>14</v>
      </c>
      <c r="B15" s="10" t="n">
        <v>46306</v>
      </c>
      <c r="C15" s="9" t="inlineStr">
        <is>
          <t>Review Sunday</t>
        </is>
      </c>
      <c r="D15" s="9" t="inlineStr">
        <is>
          <t>Review week 2</t>
        </is>
      </c>
      <c r="E15" s="11" t="inlineStr"/>
      <c r="F15" s="11" t="inlineStr"/>
      <c r="G15" s="11" t="inlineStr"/>
      <c r="H15" s="11" t="inlineStr"/>
      <c r="I15" s="11" t="inlineStr"/>
      <c r="J15" s="11" t="inlineStr"/>
      <c r="K15" s="11" t="inlineStr"/>
      <c r="L15" s="11" t="inlineStr"/>
      <c r="M15" s="11" t="inlineStr"/>
      <c r="N15" s="11" t="inlineStr"/>
      <c r="O15" s="11" t="inlineStr"/>
      <c r="P15" s="11" t="inlineStr"/>
      <c r="Q15" s="11" t="inlineStr"/>
      <c r="R15" s="11">
        <f>COUNTIF(E15:M15,"✓")+COUNTIF(O15:Q15,"✓")+IF(N(N15)&gt;=2.5,1,0)</f>
        <v/>
      </c>
      <c r="S15" s="11" t="n">
        <v>13</v>
      </c>
      <c r="T15" s="12">
        <f>R15/S15</f>
        <v/>
      </c>
      <c r="U15" s="11">
        <f>IF(R15&gt;=S15,"Completed",IF(B15=TODAY(),"Today",IF(R15&gt;0,"Partial",IF(B15&gt;TODAY(),"Upcoming","Missed"))))</f>
        <v/>
      </c>
      <c r="V15" s="9" t="n"/>
    </row>
    <row r="16">
      <c r="A16" s="9" t="n">
        <v>15</v>
      </c>
      <c r="B16" s="10" t="n">
        <v>46307</v>
      </c>
      <c r="C16" s="9" t="inlineStr">
        <is>
          <t>Office day</t>
        </is>
      </c>
      <c r="D16" s="9" t="inlineStr">
        <is>
          <t>Caching</t>
        </is>
      </c>
      <c r="E16" s="11" t="inlineStr"/>
      <c r="F16" s="11" t="inlineStr"/>
      <c r="G16" s="11" t="inlineStr"/>
      <c r="H16" s="11" t="inlineStr"/>
      <c r="I16" s="11" t="inlineStr"/>
      <c r="J16" s="11" t="inlineStr"/>
      <c r="K16" s="11" t="inlineStr"/>
      <c r="L16" s="11" t="inlineStr"/>
      <c r="M16" s="11" t="inlineStr"/>
      <c r="N16" s="11" t="inlineStr"/>
      <c r="O16" s="11" t="inlineStr"/>
      <c r="P16" s="11" t="inlineStr"/>
      <c r="Q16" s="11" t="inlineStr"/>
      <c r="R16" s="11">
        <f>COUNTIF(E16:M16,"✓")+COUNTIF(O16:Q16,"✓")+IF(N(N16)&gt;=2.5,1,0)</f>
        <v/>
      </c>
      <c r="S16" s="11" t="n">
        <v>13</v>
      </c>
      <c r="T16" s="12">
        <f>R16/S16</f>
        <v/>
      </c>
      <c r="U16" s="11">
        <f>IF(R16&gt;=S16,"Completed",IF(B16=TODAY(),"Today",IF(R16&gt;0,"Partial",IF(B16&gt;TODAY(),"Upcoming","Missed"))))</f>
        <v/>
      </c>
      <c r="V16" s="9" t="n"/>
    </row>
    <row r="17">
      <c r="A17" s="9" t="n">
        <v>16</v>
      </c>
      <c r="B17" s="10" t="n">
        <v>46308</v>
      </c>
      <c r="C17" s="9" t="inlineStr">
        <is>
          <t>Office day</t>
        </is>
      </c>
      <c r="D17" s="9" t="inlineStr">
        <is>
          <t>Cache strategies</t>
        </is>
      </c>
      <c r="E17" s="11" t="inlineStr"/>
      <c r="F17" s="11" t="inlineStr"/>
      <c r="G17" s="11" t="inlineStr"/>
      <c r="H17" s="11" t="inlineStr"/>
      <c r="I17" s="11" t="inlineStr"/>
      <c r="J17" s="11" t="inlineStr"/>
      <c r="K17" s="11" t="inlineStr"/>
      <c r="L17" s="11" t="inlineStr"/>
      <c r="M17" s="11" t="inlineStr"/>
      <c r="N17" s="11" t="inlineStr"/>
      <c r="O17" s="11" t="inlineStr"/>
      <c r="P17" s="11" t="inlineStr"/>
      <c r="Q17" s="11" t="inlineStr"/>
      <c r="R17" s="11">
        <f>COUNTIF(E17:M17,"✓")+COUNTIF(O17:Q17,"✓")+IF(N(N17)&gt;=2.5,1,0)</f>
        <v/>
      </c>
      <c r="S17" s="11" t="n">
        <v>13</v>
      </c>
      <c r="T17" s="12">
        <f>R17/S17</f>
        <v/>
      </c>
      <c r="U17" s="11">
        <f>IF(R17&gt;=S17,"Completed",IF(B17=TODAY(),"Today",IF(R17&gt;0,"Partial",IF(B17&gt;TODAY(),"Upcoming","Missed"))))</f>
        <v/>
      </c>
      <c r="V17" s="9" t="n"/>
    </row>
    <row r="18">
      <c r="A18" s="9" t="n">
        <v>17</v>
      </c>
      <c r="B18" s="10" t="n">
        <v>46309</v>
      </c>
      <c r="C18" s="9" t="inlineStr">
        <is>
          <t>Office day</t>
        </is>
      </c>
      <c r="D18" s="9" t="inlineStr">
        <is>
          <t>CDN</t>
        </is>
      </c>
      <c r="E18" s="11" t="inlineStr"/>
      <c r="F18" s="11" t="inlineStr"/>
      <c r="G18" s="11" t="inlineStr"/>
      <c r="H18" s="11" t="inlineStr"/>
      <c r="I18" s="11" t="inlineStr"/>
      <c r="J18" s="11" t="inlineStr"/>
      <c r="K18" s="11" t="inlineStr"/>
      <c r="L18" s="11" t="inlineStr"/>
      <c r="M18" s="11" t="inlineStr"/>
      <c r="N18" s="11" t="inlineStr"/>
      <c r="O18" s="11" t="inlineStr"/>
      <c r="P18" s="11" t="inlineStr"/>
      <c r="Q18" s="11" t="inlineStr"/>
      <c r="R18" s="11">
        <f>COUNTIF(E18:M18,"✓")+COUNTIF(O18:Q18,"✓")+IF(N(N18)&gt;=2.5,1,0)</f>
        <v/>
      </c>
      <c r="S18" s="11" t="n">
        <v>13</v>
      </c>
      <c r="T18" s="12">
        <f>R18/S18</f>
        <v/>
      </c>
      <c r="U18" s="11">
        <f>IF(R18&gt;=S18,"Completed",IF(B18=TODAY(),"Today",IF(R18&gt;0,"Partial",IF(B18&gt;TODAY(),"Upcoming","Missed"))))</f>
        <v/>
      </c>
      <c r="V18" s="9" t="n"/>
    </row>
    <row r="19">
      <c r="A19" s="9" t="n">
        <v>18</v>
      </c>
      <c r="B19" s="10" t="n">
        <v>46310</v>
      </c>
      <c r="C19" s="9" t="inlineStr">
        <is>
          <t>Office day</t>
        </is>
      </c>
      <c r="D19" s="9" t="inlineStr">
        <is>
          <t>Consistency</t>
        </is>
      </c>
      <c r="E19" s="11" t="inlineStr"/>
      <c r="F19" s="11" t="inlineStr"/>
      <c r="G19" s="11" t="inlineStr"/>
      <c r="H19" s="11" t="inlineStr"/>
      <c r="I19" s="11" t="inlineStr"/>
      <c r="J19" s="11" t="inlineStr"/>
      <c r="K19" s="11" t="inlineStr"/>
      <c r="L19" s="11" t="inlineStr"/>
      <c r="M19" s="11" t="inlineStr"/>
      <c r="N19" s="11" t="inlineStr"/>
      <c r="O19" s="11" t="inlineStr"/>
      <c r="P19" s="11" t="inlineStr"/>
      <c r="Q19" s="11" t="inlineStr"/>
      <c r="R19" s="11">
        <f>COUNTIF(E19:M19,"✓")+COUNTIF(O19:Q19,"✓")+IF(N(N19)&gt;=2.5,1,0)</f>
        <v/>
      </c>
      <c r="S19" s="11" t="n">
        <v>13</v>
      </c>
      <c r="T19" s="12">
        <f>R19/S19</f>
        <v/>
      </c>
      <c r="U19" s="11">
        <f>IF(R19&gt;=S19,"Completed",IF(B19=TODAY(),"Today",IF(R19&gt;0,"Partial",IF(B19&gt;TODAY(),"Upcoming","Missed"))))</f>
        <v/>
      </c>
      <c r="V19" s="9" t="n"/>
    </row>
    <row r="20">
      <c r="A20" s="9" t="n">
        <v>19</v>
      </c>
      <c r="B20" s="10" t="n">
        <v>46311</v>
      </c>
      <c r="C20" s="9" t="inlineStr">
        <is>
          <t>Light Friday</t>
        </is>
      </c>
      <c r="D20" s="9" t="inlineStr">
        <is>
          <t>Rate limiting</t>
        </is>
      </c>
      <c r="E20" s="11" t="inlineStr"/>
      <c r="F20" s="11" t="inlineStr"/>
      <c r="G20" s="11" t="inlineStr"/>
      <c r="H20" s="11" t="inlineStr"/>
      <c r="I20" s="11" t="inlineStr"/>
      <c r="J20" s="11" t="inlineStr"/>
      <c r="K20" s="11" t="inlineStr"/>
      <c r="L20" s="11" t="inlineStr"/>
      <c r="M20" s="11" t="inlineStr"/>
      <c r="N20" s="11" t="inlineStr"/>
      <c r="O20" s="11" t="inlineStr"/>
      <c r="P20" s="11" t="inlineStr"/>
      <c r="Q20" s="11" t="inlineStr"/>
      <c r="R20" s="11">
        <f>COUNTIF(E20:M20,"✓")+COUNTIF(O20:Q20,"✓")+IF(N(N20)&gt;=2.5,1,0)</f>
        <v/>
      </c>
      <c r="S20" s="11" t="n">
        <v>13</v>
      </c>
      <c r="T20" s="12">
        <f>R20/S20</f>
        <v/>
      </c>
      <c r="U20" s="11">
        <f>IF(R20&gt;=S20,"Completed",IF(B20=TODAY(),"Today",IF(R20&gt;0,"Partial",IF(B20&gt;TODAY(),"Upcoming","Missed"))))</f>
        <v/>
      </c>
      <c r="V20" s="9" t="n"/>
    </row>
    <row r="21">
      <c r="A21" s="9" t="n">
        <v>20</v>
      </c>
      <c r="B21" s="10" t="n">
        <v>46312</v>
      </c>
      <c r="C21" s="9" t="inlineStr">
        <is>
          <t>Build Saturday</t>
        </is>
      </c>
      <c r="D21" s="9" t="inlineStr">
        <is>
          <t>Build: rate limiter</t>
        </is>
      </c>
      <c r="E21" s="11" t="inlineStr"/>
      <c r="F21" s="11" t="inlineStr"/>
      <c r="G21" s="11" t="inlineStr"/>
      <c r="H21" s="11" t="inlineStr"/>
      <c r="I21" s="11" t="inlineStr"/>
      <c r="J21" s="11" t="inlineStr"/>
      <c r="K21" s="11" t="inlineStr"/>
      <c r="L21" s="11" t="inlineStr"/>
      <c r="M21" s="11" t="inlineStr"/>
      <c r="N21" s="11" t="inlineStr"/>
      <c r="O21" s="11" t="inlineStr"/>
      <c r="P21" s="11" t="inlineStr"/>
      <c r="Q21" s="11" t="inlineStr"/>
      <c r="R21" s="11">
        <f>COUNTIF(E21:M21,"✓")+COUNTIF(O21:Q21,"✓")+IF(N(N21)&gt;=2.5,1,0)</f>
        <v/>
      </c>
      <c r="S21" s="11" t="n">
        <v>13</v>
      </c>
      <c r="T21" s="12">
        <f>R21/S21</f>
        <v/>
      </c>
      <c r="U21" s="11">
        <f>IF(R21&gt;=S21,"Completed",IF(B21=TODAY(),"Today",IF(R21&gt;0,"Partial",IF(B21&gt;TODAY(),"Upcoming","Missed"))))</f>
        <v/>
      </c>
      <c r="V21" s="9" t="n"/>
    </row>
    <row r="22">
      <c r="A22" s="9" t="n">
        <v>21</v>
      </c>
      <c r="B22" s="10" t="n">
        <v>46313</v>
      </c>
      <c r="C22" s="9" t="inlineStr">
        <is>
          <t>Review Sunday</t>
        </is>
      </c>
      <c r="D22" s="9" t="inlineStr">
        <is>
          <t>Review week 3</t>
        </is>
      </c>
      <c r="E22" s="11" t="inlineStr"/>
      <c r="F22" s="11" t="inlineStr"/>
      <c r="G22" s="11" t="inlineStr"/>
      <c r="H22" s="11" t="inlineStr"/>
      <c r="I22" s="11" t="inlineStr"/>
      <c r="J22" s="11" t="inlineStr"/>
      <c r="K22" s="11" t="inlineStr"/>
      <c r="L22" s="11" t="inlineStr"/>
      <c r="M22" s="11" t="inlineStr"/>
      <c r="N22" s="11" t="inlineStr"/>
      <c r="O22" s="11" t="inlineStr"/>
      <c r="P22" s="11" t="inlineStr"/>
      <c r="Q22" s="11" t="inlineStr"/>
      <c r="R22" s="11">
        <f>COUNTIF(E22:M22,"✓")+COUNTIF(O22:Q22,"✓")+IF(N(N22)&gt;=2.5,1,0)</f>
        <v/>
      </c>
      <c r="S22" s="11" t="n">
        <v>13</v>
      </c>
      <c r="T22" s="12">
        <f>R22/S22</f>
        <v/>
      </c>
      <c r="U22" s="11">
        <f>IF(R22&gt;=S22,"Completed",IF(B22=TODAY(),"Today",IF(R22&gt;0,"Partial",IF(B22&gt;TODAY(),"Upcoming","Missed"))))</f>
        <v/>
      </c>
      <c r="V22" s="9" t="n"/>
    </row>
    <row r="23">
      <c r="A23" s="9" t="n">
        <v>22</v>
      </c>
      <c r="B23" s="10" t="n">
        <v>46314</v>
      </c>
      <c r="C23" s="9" t="inlineStr">
        <is>
          <t>Office day</t>
        </is>
      </c>
      <c r="D23" s="9" t="inlineStr">
        <is>
          <t>Async processing</t>
        </is>
      </c>
      <c r="E23" s="11" t="inlineStr"/>
      <c r="F23" s="11" t="inlineStr"/>
      <c r="G23" s="11" t="inlineStr"/>
      <c r="H23" s="11" t="inlineStr"/>
      <c r="I23" s="11" t="inlineStr"/>
      <c r="J23" s="11" t="inlineStr"/>
      <c r="K23" s="11" t="inlineStr"/>
      <c r="L23" s="11" t="inlineStr"/>
      <c r="M23" s="11" t="inlineStr"/>
      <c r="N23" s="11" t="inlineStr"/>
      <c r="O23" s="11" t="inlineStr"/>
      <c r="P23" s="11" t="inlineStr"/>
      <c r="Q23" s="11" t="inlineStr"/>
      <c r="R23" s="11">
        <f>COUNTIF(E23:M23,"✓")+COUNTIF(O23:Q23,"✓")+IF(N(N23)&gt;=2.5,1,0)</f>
        <v/>
      </c>
      <c r="S23" s="11" t="n">
        <v>13</v>
      </c>
      <c r="T23" s="12">
        <f>R23/S23</f>
        <v/>
      </c>
      <c r="U23" s="11">
        <f>IF(R23&gt;=S23,"Completed",IF(B23=TODAY(),"Today",IF(R23&gt;0,"Partial",IF(B23&gt;TODAY(),"Upcoming","Missed"))))</f>
        <v/>
      </c>
      <c r="V23" s="9" t="n"/>
    </row>
    <row r="24">
      <c r="A24" s="9" t="n">
        <v>23</v>
      </c>
      <c r="B24" s="10" t="n">
        <v>46315</v>
      </c>
      <c r="C24" s="9" t="inlineStr">
        <is>
          <t>Office day</t>
        </is>
      </c>
      <c r="D24" s="9" t="inlineStr">
        <is>
          <t>Pub/sub</t>
        </is>
      </c>
      <c r="E24" s="11" t="inlineStr"/>
      <c r="F24" s="11" t="inlineStr"/>
      <c r="G24" s="11" t="inlineStr"/>
      <c r="H24" s="11" t="inlineStr"/>
      <c r="I24" s="11" t="inlineStr"/>
      <c r="J24" s="11" t="inlineStr"/>
      <c r="K24" s="11" t="inlineStr"/>
      <c r="L24" s="11" t="inlineStr"/>
      <c r="M24" s="11" t="inlineStr"/>
      <c r="N24" s="11" t="inlineStr"/>
      <c r="O24" s="11" t="inlineStr"/>
      <c r="P24" s="11" t="inlineStr"/>
      <c r="Q24" s="11" t="inlineStr"/>
      <c r="R24" s="11">
        <f>COUNTIF(E24:M24,"✓")+COUNTIF(O24:Q24,"✓")+IF(N(N24)&gt;=2.5,1,0)</f>
        <v/>
      </c>
      <c r="S24" s="11" t="n">
        <v>13</v>
      </c>
      <c r="T24" s="12">
        <f>R24/S24</f>
        <v/>
      </c>
      <c r="U24" s="11">
        <f>IF(R24&gt;=S24,"Completed",IF(B24=TODAY(),"Today",IF(R24&gt;0,"Partial",IF(B24&gt;TODAY(),"Upcoming","Missed"))))</f>
        <v/>
      </c>
      <c r="V24" s="9" t="n"/>
    </row>
    <row r="25">
      <c r="A25" s="9" t="n">
        <v>24</v>
      </c>
      <c r="B25" s="10" t="n">
        <v>46316</v>
      </c>
      <c r="C25" s="9" t="inlineStr">
        <is>
          <t>Office day</t>
        </is>
      </c>
      <c r="D25" s="9" t="inlineStr">
        <is>
          <t>Delivery guarantees</t>
        </is>
      </c>
      <c r="E25" s="11" t="inlineStr"/>
      <c r="F25" s="11" t="inlineStr"/>
      <c r="G25" s="11" t="inlineStr"/>
      <c r="H25" s="11" t="inlineStr"/>
      <c r="I25" s="11" t="inlineStr"/>
      <c r="J25" s="11" t="inlineStr"/>
      <c r="K25" s="11" t="inlineStr"/>
      <c r="L25" s="11" t="inlineStr"/>
      <c r="M25" s="11" t="inlineStr"/>
      <c r="N25" s="11" t="inlineStr"/>
      <c r="O25" s="11" t="inlineStr"/>
      <c r="P25" s="11" t="inlineStr"/>
      <c r="Q25" s="11" t="inlineStr"/>
      <c r="R25" s="11">
        <f>COUNTIF(E25:M25,"✓")+COUNTIF(O25:Q25,"✓")+IF(N(N25)&gt;=2.5,1,0)</f>
        <v/>
      </c>
      <c r="S25" s="11" t="n">
        <v>13</v>
      </c>
      <c r="T25" s="12">
        <f>R25/S25</f>
        <v/>
      </c>
      <c r="U25" s="11">
        <f>IF(R25&gt;=S25,"Completed",IF(B25=TODAY(),"Today",IF(R25&gt;0,"Partial",IF(B25&gt;TODAY(),"Upcoming","Missed"))))</f>
        <v/>
      </c>
      <c r="V25" s="9" t="n"/>
    </row>
    <row r="26">
      <c r="A26" s="9" t="n">
        <v>25</v>
      </c>
      <c r="B26" s="10" t="n">
        <v>46317</v>
      </c>
      <c r="C26" s="9" t="inlineStr">
        <is>
          <t>Office day</t>
        </is>
      </c>
      <c r="D26" s="9" t="inlineStr">
        <is>
          <t>Phase 1 checkpoint</t>
        </is>
      </c>
      <c r="E26" s="11" t="inlineStr"/>
      <c r="F26" s="11" t="inlineStr"/>
      <c r="G26" s="11" t="inlineStr"/>
      <c r="H26" s="11" t="inlineStr"/>
      <c r="I26" s="11" t="inlineStr"/>
      <c r="J26" s="11" t="inlineStr"/>
      <c r="K26" s="11" t="inlineStr"/>
      <c r="L26" s="11" t="inlineStr"/>
      <c r="M26" s="11" t="inlineStr"/>
      <c r="N26" s="11" t="inlineStr"/>
      <c r="O26" s="11" t="inlineStr"/>
      <c r="P26" s="11" t="inlineStr"/>
      <c r="Q26" s="11" t="inlineStr"/>
      <c r="R26" s="11">
        <f>COUNTIF(E26:M26,"✓")+COUNTIF(O26:Q26,"✓")+IF(N(N26)&gt;=2.5,1,0)</f>
        <v/>
      </c>
      <c r="S26" s="11" t="n">
        <v>13</v>
      </c>
      <c r="T26" s="12">
        <f>R26/S26</f>
        <v/>
      </c>
      <c r="U26" s="11">
        <f>IF(R26&gt;=S26,"Completed",IF(B26=TODAY(),"Today",IF(R26&gt;0,"Partial",IF(B26&gt;TODAY(),"Upcoming","Missed"))))</f>
        <v/>
      </c>
      <c r="V26" s="9" t="n"/>
    </row>
    <row r="27">
      <c r="A27" s="9" t="n">
        <v>26</v>
      </c>
      <c r="B27" s="10" t="n">
        <v>46318</v>
      </c>
      <c r="C27" s="9" t="inlineStr">
        <is>
          <t>Light Friday</t>
        </is>
      </c>
      <c r="D27" s="9" t="inlineStr">
        <is>
          <t>Serverless</t>
        </is>
      </c>
      <c r="E27" s="11" t="inlineStr"/>
      <c r="F27" s="11" t="inlineStr"/>
      <c r="G27" s="11" t="inlineStr"/>
      <c r="H27" s="11" t="inlineStr"/>
      <c r="I27" s="11" t="inlineStr"/>
      <c r="J27" s="11" t="inlineStr"/>
      <c r="K27" s="11" t="inlineStr"/>
      <c r="L27" s="11" t="inlineStr"/>
      <c r="M27" s="11" t="inlineStr"/>
      <c r="N27" s="11" t="inlineStr"/>
      <c r="O27" s="11" t="inlineStr"/>
      <c r="P27" s="11" t="inlineStr"/>
      <c r="Q27" s="11" t="inlineStr"/>
      <c r="R27" s="11">
        <f>COUNTIF(E27:M27,"✓")+COUNTIF(O27:Q27,"✓")+IF(N(N27)&gt;=2.5,1,0)</f>
        <v/>
      </c>
      <c r="S27" s="11" t="n">
        <v>13</v>
      </c>
      <c r="T27" s="12">
        <f>R27/S27</f>
        <v/>
      </c>
      <c r="U27" s="11">
        <f>IF(R27&gt;=S27,"Completed",IF(B27=TODAY(),"Today",IF(R27&gt;0,"Partial",IF(B27&gt;TODAY(),"Upcoming","Missed"))))</f>
        <v/>
      </c>
      <c r="V27" s="9" t="n"/>
    </row>
    <row r="28">
      <c r="A28" s="9" t="n">
        <v>27</v>
      </c>
      <c r="B28" s="10" t="n">
        <v>46319</v>
      </c>
      <c r="C28" s="9" t="inlineStr">
        <is>
          <t>Build Saturday</t>
        </is>
      </c>
      <c r="D28" s="9" t="inlineStr">
        <is>
          <t>Build: image pipeline</t>
        </is>
      </c>
      <c r="E28" s="11" t="inlineStr"/>
      <c r="F28" s="11" t="inlineStr"/>
      <c r="G28" s="11" t="inlineStr"/>
      <c r="H28" s="11" t="inlineStr"/>
      <c r="I28" s="11" t="inlineStr"/>
      <c r="J28" s="11" t="inlineStr"/>
      <c r="K28" s="11" t="inlineStr"/>
      <c r="L28" s="11" t="inlineStr"/>
      <c r="M28" s="11" t="inlineStr"/>
      <c r="N28" s="11" t="inlineStr"/>
      <c r="O28" s="11" t="inlineStr"/>
      <c r="P28" s="11" t="inlineStr"/>
      <c r="Q28" s="11" t="inlineStr"/>
      <c r="R28" s="11">
        <f>COUNTIF(E28:M28,"✓")+COUNTIF(O28:Q28,"✓")+IF(N(N28)&gt;=2.5,1,0)</f>
        <v/>
      </c>
      <c r="S28" s="11" t="n">
        <v>13</v>
      </c>
      <c r="T28" s="12">
        <f>R28/S28</f>
        <v/>
      </c>
      <c r="U28" s="11">
        <f>IF(R28&gt;=S28,"Completed",IF(B28=TODAY(),"Today",IF(R28&gt;0,"Partial",IF(B28&gt;TODAY(),"Upcoming","Missed"))))</f>
        <v/>
      </c>
      <c r="V28" s="9" t="n"/>
    </row>
    <row r="29">
      <c r="A29" s="9" t="n">
        <v>28</v>
      </c>
      <c r="B29" s="10" t="n">
        <v>46320</v>
      </c>
      <c r="C29" s="9" t="inlineStr">
        <is>
          <t>Review Sunday</t>
        </is>
      </c>
      <c r="D29" s="9" t="inlineStr">
        <is>
          <t>Review week 4</t>
        </is>
      </c>
      <c r="E29" s="11" t="inlineStr"/>
      <c r="F29" s="11" t="inlineStr"/>
      <c r="G29" s="11" t="inlineStr"/>
      <c r="H29" s="11" t="inlineStr"/>
      <c r="I29" s="11" t="inlineStr"/>
      <c r="J29" s="11" t="inlineStr"/>
      <c r="K29" s="11" t="inlineStr"/>
      <c r="L29" s="11" t="inlineStr"/>
      <c r="M29" s="11" t="inlineStr"/>
      <c r="N29" s="11" t="inlineStr"/>
      <c r="O29" s="11" t="inlineStr"/>
      <c r="P29" s="11" t="inlineStr"/>
      <c r="Q29" s="11" t="inlineStr"/>
      <c r="R29" s="11">
        <f>COUNTIF(E29:M29,"✓")+COUNTIF(O29:Q29,"✓")+IF(N(N29)&gt;=2.5,1,0)</f>
        <v/>
      </c>
      <c r="S29" s="11" t="n">
        <v>13</v>
      </c>
      <c r="T29" s="12">
        <f>R29/S29</f>
        <v/>
      </c>
      <c r="U29" s="11">
        <f>IF(R29&gt;=S29,"Completed",IF(B29=TODAY(),"Today",IF(R29&gt;0,"Partial",IF(B29&gt;TODAY(),"Upcoming","Missed"))))</f>
        <v/>
      </c>
      <c r="V29" s="9" t="n"/>
    </row>
    <row r="30">
      <c r="A30" s="9" t="n">
        <v>29</v>
      </c>
      <c r="B30" s="10" t="n">
        <v>46321</v>
      </c>
      <c r="C30" s="9" t="inlineStr">
        <is>
          <t>Office day</t>
        </is>
      </c>
      <c r="D30" s="9" t="inlineStr">
        <is>
          <t>API gateway</t>
        </is>
      </c>
      <c r="E30" s="11" t="inlineStr"/>
      <c r="F30" s="11" t="inlineStr"/>
      <c r="G30" s="11" t="inlineStr"/>
      <c r="H30" s="11" t="inlineStr"/>
      <c r="I30" s="11" t="inlineStr"/>
      <c r="J30" s="11" t="inlineStr"/>
      <c r="K30" s="11" t="inlineStr"/>
      <c r="L30" s="11" t="inlineStr"/>
      <c r="M30" s="11" t="inlineStr"/>
      <c r="N30" s="11" t="inlineStr"/>
      <c r="O30" s="11" t="inlineStr"/>
      <c r="P30" s="11" t="inlineStr"/>
      <c r="Q30" s="11" t="inlineStr"/>
      <c r="R30" s="11">
        <f>COUNTIF(E30:M30,"✓")+COUNTIF(O30:Q30,"✓")+IF(N(N30)&gt;=2.5,1,0)</f>
        <v/>
      </c>
      <c r="S30" s="11" t="n">
        <v>13</v>
      </c>
      <c r="T30" s="12">
        <f>R30/S30</f>
        <v/>
      </c>
      <c r="U30" s="11">
        <f>IF(R30&gt;=S30,"Completed",IF(B30=TODAY(),"Today",IF(R30&gt;0,"Partial",IF(B30&gt;TODAY(),"Upcoming","Missed"))))</f>
        <v/>
      </c>
      <c r="V30" s="9" t="n"/>
    </row>
    <row r="31">
      <c r="A31" s="9" t="n">
        <v>30</v>
      </c>
      <c r="B31" s="10" t="n">
        <v>46322</v>
      </c>
      <c r="C31" s="9" t="inlineStr">
        <is>
          <t>Office day</t>
        </is>
      </c>
      <c r="D31" s="9" t="inlineStr">
        <is>
          <t>Microservices</t>
        </is>
      </c>
      <c r="E31" s="11" t="inlineStr"/>
      <c r="F31" s="11" t="inlineStr"/>
      <c r="G31" s="11" t="inlineStr"/>
      <c r="H31" s="11" t="inlineStr"/>
      <c r="I31" s="11" t="inlineStr"/>
      <c r="J31" s="11" t="inlineStr"/>
      <c r="K31" s="11" t="inlineStr"/>
      <c r="L31" s="11" t="inlineStr"/>
      <c r="M31" s="11" t="inlineStr"/>
      <c r="N31" s="11" t="inlineStr"/>
      <c r="O31" s="11" t="inlineStr"/>
      <c r="P31" s="11" t="inlineStr"/>
      <c r="Q31" s="11" t="inlineStr"/>
      <c r="R31" s="11">
        <f>COUNTIF(E31:M31,"✓")+COUNTIF(O31:Q31,"✓")+IF(N(N31)&gt;=2.5,1,0)</f>
        <v/>
      </c>
      <c r="S31" s="11" t="n">
        <v>13</v>
      </c>
      <c r="T31" s="12">
        <f>R31/S31</f>
        <v/>
      </c>
      <c r="U31" s="11">
        <f>IF(R31&gt;=S31,"Completed",IF(B31=TODAY(),"Today",IF(R31&gt;0,"Partial",IF(B31&gt;TODAY(),"Upcoming","Missed"))))</f>
        <v/>
      </c>
      <c r="V31" s="9" t="n"/>
    </row>
    <row r="32">
      <c r="A32" s="9" t="n">
        <v>31</v>
      </c>
      <c r="B32" s="10" t="n">
        <v>46323</v>
      </c>
      <c r="C32" s="9" t="inlineStr">
        <is>
          <t>Office day</t>
        </is>
      </c>
      <c r="D32" s="9" t="inlineStr">
        <is>
          <t>Containers</t>
        </is>
      </c>
      <c r="E32" s="11" t="inlineStr"/>
      <c r="F32" s="11" t="inlineStr"/>
      <c r="G32" s="11" t="inlineStr"/>
      <c r="H32" s="11" t="inlineStr"/>
      <c r="I32" s="11" t="inlineStr"/>
      <c r="J32" s="11" t="inlineStr"/>
      <c r="K32" s="11" t="inlineStr"/>
      <c r="L32" s="11" t="inlineStr"/>
      <c r="M32" s="11" t="inlineStr"/>
      <c r="N32" s="11" t="inlineStr"/>
      <c r="O32" s="11" t="inlineStr"/>
      <c r="P32" s="11" t="inlineStr"/>
      <c r="Q32" s="11" t="inlineStr"/>
      <c r="R32" s="11">
        <f>COUNTIF(E32:M32,"✓")+COUNTIF(O32:Q32,"✓")+IF(N(N32)&gt;=2.5,1,0)</f>
        <v/>
      </c>
      <c r="S32" s="11" t="n">
        <v>13</v>
      </c>
      <c r="T32" s="12">
        <f>R32/S32</f>
        <v/>
      </c>
      <c r="U32" s="11">
        <f>IF(R32&gt;=S32,"Completed",IF(B32=TODAY(),"Today",IF(R32&gt;0,"Partial",IF(B32&gt;TODAY(),"Upcoming","Missed"))))</f>
        <v/>
      </c>
      <c r="V32" s="9" t="n"/>
    </row>
    <row r="33">
      <c r="A33" s="9" t="n">
        <v>32</v>
      </c>
      <c r="B33" s="10" t="n">
        <v>46324</v>
      </c>
      <c r="C33" s="9" t="inlineStr">
        <is>
          <t>Office day</t>
        </is>
      </c>
      <c r="D33" s="9" t="inlineStr">
        <is>
          <t>Auth</t>
        </is>
      </c>
      <c r="E33" s="11" t="inlineStr"/>
      <c r="F33" s="11" t="inlineStr"/>
      <c r="G33" s="11" t="inlineStr"/>
      <c r="H33" s="11" t="inlineStr"/>
      <c r="I33" s="11" t="inlineStr"/>
      <c r="J33" s="11" t="inlineStr"/>
      <c r="K33" s="11" t="inlineStr"/>
      <c r="L33" s="11" t="inlineStr"/>
      <c r="M33" s="11" t="inlineStr"/>
      <c r="N33" s="11" t="inlineStr"/>
      <c r="O33" s="11" t="inlineStr"/>
      <c r="P33" s="11" t="inlineStr"/>
      <c r="Q33" s="11" t="inlineStr"/>
      <c r="R33" s="11">
        <f>COUNTIF(E33:M33,"✓")+COUNTIF(O33:Q33,"✓")+IF(N(N33)&gt;=2.5,1,0)</f>
        <v/>
      </c>
      <c r="S33" s="11" t="n">
        <v>13</v>
      </c>
      <c r="T33" s="12">
        <f>R33/S33</f>
        <v/>
      </c>
      <c r="U33" s="11">
        <f>IF(R33&gt;=S33,"Completed",IF(B33=TODAY(),"Today",IF(R33&gt;0,"Partial",IF(B33&gt;TODAY(),"Upcoming","Missed"))))</f>
        <v/>
      </c>
      <c r="V33" s="9" t="n"/>
    </row>
    <row r="34">
      <c r="A34" s="9" t="n">
        <v>33</v>
      </c>
      <c r="B34" s="10" t="n">
        <v>46325</v>
      </c>
      <c r="C34" s="9" t="inlineStr">
        <is>
          <t>Light Friday</t>
        </is>
      </c>
      <c r="D34" s="9" t="inlineStr">
        <is>
          <t>Observability</t>
        </is>
      </c>
      <c r="E34" s="11" t="inlineStr"/>
      <c r="F34" s="11" t="inlineStr"/>
      <c r="G34" s="11" t="inlineStr"/>
      <c r="H34" s="11" t="inlineStr"/>
      <c r="I34" s="11" t="inlineStr"/>
      <c r="J34" s="11" t="inlineStr"/>
      <c r="K34" s="11" t="inlineStr"/>
      <c r="L34" s="11" t="inlineStr"/>
      <c r="M34" s="11" t="inlineStr"/>
      <c r="N34" s="11" t="inlineStr"/>
      <c r="O34" s="11" t="inlineStr"/>
      <c r="P34" s="11" t="inlineStr"/>
      <c r="Q34" s="11" t="inlineStr"/>
      <c r="R34" s="11">
        <f>COUNTIF(E34:M34,"✓")+COUNTIF(O34:Q34,"✓")+IF(N(N34)&gt;=2.5,1,0)</f>
        <v/>
      </c>
      <c r="S34" s="11" t="n">
        <v>13</v>
      </c>
      <c r="T34" s="12">
        <f>R34/S34</f>
        <v/>
      </c>
      <c r="U34" s="11">
        <f>IF(R34&gt;=S34,"Completed",IF(B34=TODAY(),"Today",IF(R34&gt;0,"Partial",IF(B34&gt;TODAY(),"Upcoming","Missed"))))</f>
        <v/>
      </c>
      <c r="V34" s="9" t="n"/>
    </row>
    <row r="35">
      <c r="A35" s="9" t="n">
        <v>34</v>
      </c>
      <c r="B35" s="10" t="n">
        <v>46326</v>
      </c>
      <c r="C35" s="9" t="inlineStr">
        <is>
          <t>Build Saturday</t>
        </is>
      </c>
      <c r="D35" s="9" t="inlineStr">
        <is>
          <t>Build: URL shortener</t>
        </is>
      </c>
      <c r="E35" s="11" t="inlineStr"/>
      <c r="F35" s="11" t="inlineStr"/>
      <c r="G35" s="11" t="inlineStr"/>
      <c r="H35" s="11" t="inlineStr"/>
      <c r="I35" s="11" t="inlineStr"/>
      <c r="J35" s="11" t="inlineStr"/>
      <c r="K35" s="11" t="inlineStr"/>
      <c r="L35" s="11" t="inlineStr"/>
      <c r="M35" s="11" t="inlineStr"/>
      <c r="N35" s="11" t="inlineStr"/>
      <c r="O35" s="11" t="inlineStr"/>
      <c r="P35" s="11" t="inlineStr"/>
      <c r="Q35" s="11" t="inlineStr"/>
      <c r="R35" s="11">
        <f>COUNTIF(E35:M35,"✓")+COUNTIF(O35:Q35,"✓")+IF(N(N35)&gt;=2.5,1,0)</f>
        <v/>
      </c>
      <c r="S35" s="11" t="n">
        <v>13</v>
      </c>
      <c r="T35" s="12">
        <f>R35/S35</f>
        <v/>
      </c>
      <c r="U35" s="11">
        <f>IF(R35&gt;=S35,"Completed",IF(B35=TODAY(),"Today",IF(R35&gt;0,"Partial",IF(B35&gt;TODAY(),"Upcoming","Missed"))))</f>
        <v/>
      </c>
      <c r="V35" s="9" t="n"/>
    </row>
    <row r="36">
      <c r="A36" s="9" t="n">
        <v>35</v>
      </c>
      <c r="B36" s="10" t="n">
        <v>46327</v>
      </c>
      <c r="C36" s="9" t="inlineStr">
        <is>
          <t>Review Sunday</t>
        </is>
      </c>
      <c r="D36" s="9" t="inlineStr">
        <is>
          <t>Review week 5</t>
        </is>
      </c>
      <c r="E36" s="11" t="inlineStr"/>
      <c r="F36" s="11" t="inlineStr"/>
      <c r="G36" s="11" t="inlineStr"/>
      <c r="H36" s="11" t="inlineStr"/>
      <c r="I36" s="11" t="inlineStr"/>
      <c r="J36" s="11" t="inlineStr"/>
      <c r="K36" s="11" t="inlineStr"/>
      <c r="L36" s="11" t="inlineStr"/>
      <c r="M36" s="11" t="inlineStr"/>
      <c r="N36" s="11" t="inlineStr"/>
      <c r="O36" s="11" t="inlineStr"/>
      <c r="P36" s="11" t="inlineStr"/>
      <c r="Q36" s="11" t="inlineStr"/>
      <c r="R36" s="11">
        <f>COUNTIF(E36:M36,"✓")+COUNTIF(O36:Q36,"✓")+IF(N(N36)&gt;=2.5,1,0)</f>
        <v/>
      </c>
      <c r="S36" s="11" t="n">
        <v>13</v>
      </c>
      <c r="T36" s="12">
        <f>R36/S36</f>
        <v/>
      </c>
      <c r="U36" s="11">
        <f>IF(R36&gt;=S36,"Completed",IF(B36=TODAY(),"Today",IF(R36&gt;0,"Partial",IF(B36&gt;TODAY(),"Upcoming","Missed"))))</f>
        <v/>
      </c>
      <c r="V36" s="9" t="n"/>
    </row>
    <row r="37">
      <c r="A37" s="9" t="n">
        <v>36</v>
      </c>
      <c r="B37" s="10" t="n">
        <v>46328</v>
      </c>
      <c r="C37" s="9" t="inlineStr">
        <is>
          <t>Office day</t>
        </is>
      </c>
      <c r="D37" s="9" t="inlineStr">
        <is>
          <t>Scheduling</t>
        </is>
      </c>
      <c r="E37" s="11" t="inlineStr"/>
      <c r="F37" s="11" t="inlineStr"/>
      <c r="G37" s="11" t="inlineStr"/>
      <c r="H37" s="11" t="inlineStr"/>
      <c r="I37" s="11" t="inlineStr"/>
      <c r="J37" s="11" t="inlineStr"/>
      <c r="K37" s="11" t="inlineStr"/>
      <c r="L37" s="11" t="inlineStr"/>
      <c r="M37" s="11" t="inlineStr"/>
      <c r="N37" s="11" t="inlineStr"/>
      <c r="O37" s="11" t="inlineStr"/>
      <c r="P37" s="11" t="inlineStr"/>
      <c r="Q37" s="11" t="inlineStr"/>
      <c r="R37" s="11">
        <f>COUNTIF(E37:M37,"✓")+COUNTIF(O37:Q37,"✓")+IF(N(N37)&gt;=2.5,1,0)</f>
        <v/>
      </c>
      <c r="S37" s="11" t="n">
        <v>13</v>
      </c>
      <c r="T37" s="12">
        <f>R37/S37</f>
        <v/>
      </c>
      <c r="U37" s="11">
        <f>IF(R37&gt;=S37,"Completed",IF(B37=TODAY(),"Today",IF(R37&gt;0,"Partial",IF(B37&gt;TODAY(),"Upcoming","Missed"))))</f>
        <v/>
      </c>
      <c r="V37" s="9" t="n"/>
    </row>
    <row r="38">
      <c r="A38" s="9" t="n">
        <v>37</v>
      </c>
      <c r="B38" s="10" t="n">
        <v>46329</v>
      </c>
      <c r="C38" s="9" t="inlineStr">
        <is>
          <t>Office day</t>
        </is>
      </c>
      <c r="D38" s="9" t="inlineStr">
        <is>
          <t>Consistent hashing</t>
        </is>
      </c>
      <c r="E38" s="11" t="inlineStr"/>
      <c r="F38" s="11" t="inlineStr"/>
      <c r="G38" s="11" t="inlineStr"/>
      <c r="H38" s="11" t="inlineStr"/>
      <c r="I38" s="11" t="inlineStr"/>
      <c r="J38" s="11" t="inlineStr"/>
      <c r="K38" s="11" t="inlineStr"/>
      <c r="L38" s="11" t="inlineStr"/>
      <c r="M38" s="11" t="inlineStr"/>
      <c r="N38" s="11" t="inlineStr"/>
      <c r="O38" s="11" t="inlineStr"/>
      <c r="P38" s="11" t="inlineStr"/>
      <c r="Q38" s="11" t="inlineStr"/>
      <c r="R38" s="11">
        <f>COUNTIF(E38:M38,"✓")+COUNTIF(O38:Q38,"✓")+IF(N(N38)&gt;=2.5,1,0)</f>
        <v/>
      </c>
      <c r="S38" s="11" t="n">
        <v>13</v>
      </c>
      <c r="T38" s="12">
        <f>R38/S38</f>
        <v/>
      </c>
      <c r="U38" s="11">
        <f>IF(R38&gt;=S38,"Completed",IF(B38=TODAY(),"Today",IF(R38&gt;0,"Partial",IF(B38&gt;TODAY(),"Upcoming","Missed"))))</f>
        <v/>
      </c>
      <c r="V38" s="9" t="n"/>
    </row>
    <row r="39">
      <c r="A39" s="9" t="n">
        <v>38</v>
      </c>
      <c r="B39" s="10" t="n">
        <v>46330</v>
      </c>
      <c r="C39" s="9" t="inlineStr">
        <is>
          <t>Office day</t>
        </is>
      </c>
      <c r="D39" s="9" t="inlineStr">
        <is>
          <t>Graphs</t>
        </is>
      </c>
      <c r="E39" s="11" t="inlineStr"/>
      <c r="F39" s="11" t="inlineStr"/>
      <c r="G39" s="11" t="inlineStr"/>
      <c r="H39" s="11" t="inlineStr"/>
      <c r="I39" s="11" t="inlineStr"/>
      <c r="J39" s="11" t="inlineStr"/>
      <c r="K39" s="11" t="inlineStr"/>
      <c r="L39" s="11" t="inlineStr"/>
      <c r="M39" s="11" t="inlineStr"/>
      <c r="N39" s="11" t="inlineStr"/>
      <c r="O39" s="11" t="inlineStr"/>
      <c r="P39" s="11" t="inlineStr"/>
      <c r="Q39" s="11" t="inlineStr"/>
      <c r="R39" s="11">
        <f>COUNTIF(E39:M39,"✓")+COUNTIF(O39:Q39,"✓")+IF(N(N39)&gt;=2.5,1,0)</f>
        <v/>
      </c>
      <c r="S39" s="11" t="n">
        <v>13</v>
      </c>
      <c r="T39" s="12">
        <f>R39/S39</f>
        <v/>
      </c>
      <c r="U39" s="11">
        <f>IF(R39&gt;=S39,"Completed",IF(B39=TODAY(),"Today",IF(R39&gt;0,"Partial",IF(B39&gt;TODAY(),"Upcoming","Missed"))))</f>
        <v/>
      </c>
      <c r="V39" s="9" t="n"/>
    </row>
    <row r="40">
      <c r="A40" s="9" t="n">
        <v>39</v>
      </c>
      <c r="B40" s="10" t="n">
        <v>46331</v>
      </c>
      <c r="C40" s="9" t="inlineStr">
        <is>
          <t>Office day</t>
        </is>
      </c>
      <c r="D40" s="9" t="inlineStr">
        <is>
          <t>Coordination</t>
        </is>
      </c>
      <c r="E40" s="11" t="inlineStr"/>
      <c r="F40" s="11" t="inlineStr"/>
      <c r="G40" s="11" t="inlineStr"/>
      <c r="H40" s="11" t="inlineStr"/>
      <c r="I40" s="11" t="inlineStr"/>
      <c r="J40" s="11" t="inlineStr"/>
      <c r="K40" s="11" t="inlineStr"/>
      <c r="L40" s="11" t="inlineStr"/>
      <c r="M40" s="11" t="inlineStr"/>
      <c r="N40" s="11" t="inlineStr"/>
      <c r="O40" s="11" t="inlineStr"/>
      <c r="P40" s="11" t="inlineStr"/>
      <c r="Q40" s="11" t="inlineStr"/>
      <c r="R40" s="11">
        <f>COUNTIF(E40:M40,"✓")+COUNTIF(O40:Q40,"✓")+IF(N(N40)&gt;=2.5,1,0)</f>
        <v/>
      </c>
      <c r="S40" s="11" t="n">
        <v>13</v>
      </c>
      <c r="T40" s="12">
        <f>R40/S40</f>
        <v/>
      </c>
      <c r="U40" s="11">
        <f>IF(R40&gt;=S40,"Completed",IF(B40=TODAY(),"Today",IF(R40&gt;0,"Partial",IF(B40&gt;TODAY(),"Upcoming","Missed"))))</f>
        <v/>
      </c>
      <c r="V40" s="9" t="n"/>
    </row>
    <row r="41">
      <c r="A41" s="9" t="n">
        <v>40</v>
      </c>
      <c r="B41" s="10" t="n">
        <v>46332</v>
      </c>
      <c r="C41" s="9" t="inlineStr">
        <is>
          <t>Light Friday</t>
        </is>
      </c>
      <c r="D41" s="9" t="inlineStr">
        <is>
          <t>Probabilistic tricks</t>
        </is>
      </c>
      <c r="E41" s="11" t="inlineStr"/>
      <c r="F41" s="11" t="inlineStr"/>
      <c r="G41" s="11" t="inlineStr"/>
      <c r="H41" s="11" t="inlineStr"/>
      <c r="I41" s="11" t="inlineStr"/>
      <c r="J41" s="11" t="inlineStr"/>
      <c r="K41" s="11" t="inlineStr"/>
      <c r="L41" s="11" t="inlineStr"/>
      <c r="M41" s="11" t="inlineStr"/>
      <c r="N41" s="11" t="inlineStr"/>
      <c r="O41" s="11" t="inlineStr"/>
      <c r="P41" s="11" t="inlineStr"/>
      <c r="Q41" s="11" t="inlineStr"/>
      <c r="R41" s="11">
        <f>COUNTIF(E41:M41,"✓")+COUNTIF(O41:Q41,"✓")+IF(N(N41)&gt;=2.5,1,0)</f>
        <v/>
      </c>
      <c r="S41" s="11" t="n">
        <v>13</v>
      </c>
      <c r="T41" s="12">
        <f>R41/S41</f>
        <v/>
      </c>
      <c r="U41" s="11">
        <f>IF(R41&gt;=S41,"Completed",IF(B41=TODAY(),"Today",IF(R41&gt;0,"Partial",IF(B41&gt;TODAY(),"Upcoming","Missed"))))</f>
        <v/>
      </c>
      <c r="V41" s="9" t="n"/>
    </row>
    <row r="42">
      <c r="A42" s="9" t="n">
        <v>41</v>
      </c>
      <c r="B42" s="10" t="n">
        <v>46333</v>
      </c>
      <c r="C42" s="9" t="inlineStr">
        <is>
          <t>Build Saturday</t>
        </is>
      </c>
      <c r="D42" s="9" t="inlineStr">
        <is>
          <t>Build: parking system</t>
        </is>
      </c>
      <c r="E42" s="11" t="inlineStr"/>
      <c r="F42" s="11" t="inlineStr"/>
      <c r="G42" s="11" t="inlineStr"/>
      <c r="H42" s="11" t="inlineStr"/>
      <c r="I42" s="11" t="inlineStr"/>
      <c r="J42" s="11" t="inlineStr"/>
      <c r="K42" s="11" t="inlineStr"/>
      <c r="L42" s="11" t="inlineStr"/>
      <c r="M42" s="11" t="inlineStr"/>
      <c r="N42" s="11" t="inlineStr"/>
      <c r="O42" s="11" t="inlineStr"/>
      <c r="P42" s="11" t="inlineStr"/>
      <c r="Q42" s="11" t="inlineStr"/>
      <c r="R42" s="11">
        <f>COUNTIF(E42:M42,"✓")+COUNTIF(O42:Q42,"✓")+IF(N(N42)&gt;=2.5,1,0)</f>
        <v/>
      </c>
      <c r="S42" s="11" t="n">
        <v>13</v>
      </c>
      <c r="T42" s="12">
        <f>R42/S42</f>
        <v/>
      </c>
      <c r="U42" s="11">
        <f>IF(R42&gt;=S42,"Completed",IF(B42=TODAY(),"Today",IF(R42&gt;0,"Partial",IF(B42&gt;TODAY(),"Upcoming","Missed"))))</f>
        <v/>
      </c>
      <c r="V42" s="9" t="n"/>
    </row>
    <row r="43">
      <c r="A43" s="9" t="n">
        <v>42</v>
      </c>
      <c r="B43" s="10" t="n">
        <v>46334</v>
      </c>
      <c r="C43" s="9" t="inlineStr">
        <is>
          <t>Review Sunday</t>
        </is>
      </c>
      <c r="D43" s="9" t="inlineStr">
        <is>
          <t>Review week 6</t>
        </is>
      </c>
      <c r="E43" s="11" t="inlineStr"/>
      <c r="F43" s="11" t="inlineStr"/>
      <c r="G43" s="11" t="inlineStr"/>
      <c r="H43" s="11" t="inlineStr"/>
      <c r="I43" s="11" t="inlineStr"/>
      <c r="J43" s="11" t="inlineStr"/>
      <c r="K43" s="11" t="inlineStr"/>
      <c r="L43" s="11" t="inlineStr"/>
      <c r="M43" s="11" t="inlineStr"/>
      <c r="N43" s="11" t="inlineStr"/>
      <c r="O43" s="11" t="inlineStr"/>
      <c r="P43" s="11" t="inlineStr"/>
      <c r="Q43" s="11" t="inlineStr"/>
      <c r="R43" s="11">
        <f>COUNTIF(E43:M43,"✓")+COUNTIF(O43:Q43,"✓")+IF(N(N43)&gt;=2.5,1,0)</f>
        <v/>
      </c>
      <c r="S43" s="11" t="n">
        <v>13</v>
      </c>
      <c r="T43" s="12">
        <f>R43/S43</f>
        <v/>
      </c>
      <c r="U43" s="11">
        <f>IF(R43&gt;=S43,"Completed",IF(B43=TODAY(),"Today",IF(R43&gt;0,"Partial",IF(B43&gt;TODAY(),"Upcoming","Missed"))))</f>
        <v/>
      </c>
      <c r="V43" s="9" t="n"/>
    </row>
    <row r="44">
      <c r="A44" s="9" t="n">
        <v>43</v>
      </c>
      <c r="B44" s="10" t="n">
        <v>46335</v>
      </c>
      <c r="C44" s="9" t="inlineStr">
        <is>
          <t>Office day</t>
        </is>
      </c>
      <c r="D44" s="9" t="inlineStr">
        <is>
          <t>Search</t>
        </is>
      </c>
      <c r="E44" s="11" t="inlineStr"/>
      <c r="F44" s="11" t="inlineStr"/>
      <c r="G44" s="11" t="inlineStr"/>
      <c r="H44" s="11" t="inlineStr"/>
      <c r="I44" s="11" t="inlineStr"/>
      <c r="J44" s="11" t="inlineStr"/>
      <c r="K44" s="11" t="inlineStr"/>
      <c r="L44" s="11" t="inlineStr"/>
      <c r="M44" s="11" t="inlineStr"/>
      <c r="N44" s="11" t="inlineStr"/>
      <c r="O44" s="11" t="inlineStr"/>
      <c r="P44" s="11" t="inlineStr"/>
      <c r="Q44" s="11" t="inlineStr"/>
      <c r="R44" s="11">
        <f>COUNTIF(E44:M44,"✓")+COUNTIF(O44:Q44,"✓")+IF(N(N44)&gt;=2.5,1,0)</f>
        <v/>
      </c>
      <c r="S44" s="11" t="n">
        <v>13</v>
      </c>
      <c r="T44" s="12">
        <f>R44/S44</f>
        <v/>
      </c>
      <c r="U44" s="11">
        <f>IF(R44&gt;=S44,"Completed",IF(B44=TODAY(),"Today",IF(R44&gt;0,"Partial",IF(B44&gt;TODAY(),"Upcoming","Missed"))))</f>
        <v/>
      </c>
      <c r="V44" s="9" t="n"/>
    </row>
    <row r="45">
      <c r="A45" s="9" t="n">
        <v>44</v>
      </c>
      <c r="B45" s="10" t="n">
        <v>46336</v>
      </c>
      <c r="C45" s="9" t="inlineStr">
        <is>
          <t>Office day</t>
        </is>
      </c>
      <c r="D45" s="9" t="inlineStr">
        <is>
          <t>Pagination</t>
        </is>
      </c>
      <c r="E45" s="11" t="inlineStr"/>
      <c r="F45" s="11" t="inlineStr"/>
      <c r="G45" s="11" t="inlineStr"/>
      <c r="H45" s="11" t="inlineStr"/>
      <c r="I45" s="11" t="inlineStr"/>
      <c r="J45" s="11" t="inlineStr"/>
      <c r="K45" s="11" t="inlineStr"/>
      <c r="L45" s="11" t="inlineStr"/>
      <c r="M45" s="11" t="inlineStr"/>
      <c r="N45" s="11" t="inlineStr"/>
      <c r="O45" s="11" t="inlineStr"/>
      <c r="P45" s="11" t="inlineStr"/>
      <c r="Q45" s="11" t="inlineStr"/>
      <c r="R45" s="11">
        <f>COUNTIF(E45:M45,"✓")+COUNTIF(O45:Q45,"✓")+IF(N(N45)&gt;=2.5,1,0)</f>
        <v/>
      </c>
      <c r="S45" s="11" t="n">
        <v>13</v>
      </c>
      <c r="T45" s="12">
        <f>R45/S45</f>
        <v/>
      </c>
      <c r="U45" s="11">
        <f>IF(R45&gt;=S45,"Completed",IF(B45=TODAY(),"Today",IF(R45&gt;0,"Partial",IF(B45&gt;TODAY(),"Upcoming","Missed"))))</f>
        <v/>
      </c>
      <c r="V45" s="9" t="n"/>
    </row>
    <row r="46">
      <c r="A46" s="9" t="n">
        <v>45</v>
      </c>
      <c r="B46" s="10" t="n">
        <v>46337</v>
      </c>
      <c r="C46" s="9" t="inlineStr">
        <is>
          <t>Office day</t>
        </is>
      </c>
      <c r="D46" s="9" t="inlineStr">
        <is>
          <t>Concurrency</t>
        </is>
      </c>
      <c r="E46" s="11" t="inlineStr"/>
      <c r="F46" s="11" t="inlineStr"/>
      <c r="G46" s="11" t="inlineStr"/>
      <c r="H46" s="11" t="inlineStr"/>
      <c r="I46" s="11" t="inlineStr"/>
      <c r="J46" s="11" t="inlineStr"/>
      <c r="K46" s="11" t="inlineStr"/>
      <c r="L46" s="11" t="inlineStr"/>
      <c r="M46" s="11" t="inlineStr"/>
      <c r="N46" s="11" t="inlineStr"/>
      <c r="O46" s="11" t="inlineStr"/>
      <c r="P46" s="11" t="inlineStr"/>
      <c r="Q46" s="11" t="inlineStr"/>
      <c r="R46" s="11">
        <f>COUNTIF(E46:M46,"✓")+COUNTIF(O46:Q46,"✓")+IF(N(N46)&gt;=2.5,1,0)</f>
        <v/>
      </c>
      <c r="S46" s="11" t="n">
        <v>13</v>
      </c>
      <c r="T46" s="12">
        <f>R46/S46</f>
        <v/>
      </c>
      <c r="U46" s="11">
        <f>IF(R46&gt;=S46,"Completed",IF(B46=TODAY(),"Today",IF(R46&gt;0,"Partial",IF(B46&gt;TODAY(),"Upcoming","Missed"))))</f>
        <v/>
      </c>
      <c r="V46" s="9" t="n"/>
    </row>
    <row r="47">
      <c r="A47" s="9" t="n">
        <v>46</v>
      </c>
      <c r="B47" s="10" t="n">
        <v>46338</v>
      </c>
      <c r="C47" s="9" t="inlineStr">
        <is>
          <t>Office day</t>
        </is>
      </c>
      <c r="D47" s="9" t="inlineStr">
        <is>
          <t>Real-time</t>
        </is>
      </c>
      <c r="E47" s="11" t="inlineStr"/>
      <c r="F47" s="11" t="inlineStr"/>
      <c r="G47" s="11" t="inlineStr"/>
      <c r="H47" s="11" t="inlineStr"/>
      <c r="I47" s="11" t="inlineStr"/>
      <c r="J47" s="11" t="inlineStr"/>
      <c r="K47" s="11" t="inlineStr"/>
      <c r="L47" s="11" t="inlineStr"/>
      <c r="M47" s="11" t="inlineStr"/>
      <c r="N47" s="11" t="inlineStr"/>
      <c r="O47" s="11" t="inlineStr"/>
      <c r="P47" s="11" t="inlineStr"/>
      <c r="Q47" s="11" t="inlineStr"/>
      <c r="R47" s="11">
        <f>COUNTIF(E47:M47,"✓")+COUNTIF(O47:Q47,"✓")+IF(N(N47)&gt;=2.5,1,0)</f>
        <v/>
      </c>
      <c r="S47" s="11" t="n">
        <v>13</v>
      </c>
      <c r="T47" s="12">
        <f>R47/S47</f>
        <v/>
      </c>
      <c r="U47" s="11">
        <f>IF(R47&gt;=S47,"Completed",IF(B47=TODAY(),"Today",IF(R47&gt;0,"Partial",IF(B47&gt;TODAY(),"Upcoming","Missed"))))</f>
        <v/>
      </c>
      <c r="V47" s="9" t="n"/>
    </row>
    <row r="48">
      <c r="A48" s="9" t="n">
        <v>47</v>
      </c>
      <c r="B48" s="10" t="n">
        <v>46339</v>
      </c>
      <c r="C48" s="9" t="inlineStr">
        <is>
          <t>Light Friday</t>
        </is>
      </c>
      <c r="D48" s="9" t="inlineStr">
        <is>
          <t>Estimation</t>
        </is>
      </c>
      <c r="E48" s="11" t="inlineStr"/>
      <c r="F48" s="11" t="inlineStr"/>
      <c r="G48" s="11" t="inlineStr"/>
      <c r="H48" s="11" t="inlineStr"/>
      <c r="I48" s="11" t="inlineStr"/>
      <c r="J48" s="11" t="inlineStr"/>
      <c r="K48" s="11" t="inlineStr"/>
      <c r="L48" s="11" t="inlineStr"/>
      <c r="M48" s="11" t="inlineStr"/>
      <c r="N48" s="11" t="inlineStr"/>
      <c r="O48" s="11" t="inlineStr"/>
      <c r="P48" s="11" t="inlineStr"/>
      <c r="Q48" s="11" t="inlineStr"/>
      <c r="R48" s="11">
        <f>COUNTIF(E48:M48,"✓")+COUNTIF(O48:Q48,"✓")+IF(N(N48)&gt;=2.5,1,0)</f>
        <v/>
      </c>
      <c r="S48" s="11" t="n">
        <v>13</v>
      </c>
      <c r="T48" s="12">
        <f>R48/S48</f>
        <v/>
      </c>
      <c r="U48" s="11">
        <f>IF(R48&gt;=S48,"Completed",IF(B48=TODAY(),"Today",IF(R48&gt;0,"Partial",IF(B48&gt;TODAY(),"Upcoming","Missed"))))</f>
        <v/>
      </c>
      <c r="V48" s="9" t="n"/>
    </row>
    <row r="49">
      <c r="A49" s="9" t="n">
        <v>48</v>
      </c>
      <c r="B49" s="10" t="n">
        <v>46340</v>
      </c>
      <c r="C49" s="9" t="inlineStr">
        <is>
          <t>Build Saturday</t>
        </is>
      </c>
      <c r="D49" s="9" t="inlineStr">
        <is>
          <t>Build: chat app</t>
        </is>
      </c>
      <c r="E49" s="11" t="inlineStr"/>
      <c r="F49" s="11" t="inlineStr"/>
      <c r="G49" s="11" t="inlineStr"/>
      <c r="H49" s="11" t="inlineStr"/>
      <c r="I49" s="11" t="inlineStr"/>
      <c r="J49" s="11" t="inlineStr"/>
      <c r="K49" s="11" t="inlineStr"/>
      <c r="L49" s="11" t="inlineStr"/>
      <c r="M49" s="11" t="inlineStr"/>
      <c r="N49" s="11" t="inlineStr"/>
      <c r="O49" s="11" t="inlineStr"/>
      <c r="P49" s="11" t="inlineStr"/>
      <c r="Q49" s="11" t="inlineStr"/>
      <c r="R49" s="11">
        <f>COUNTIF(E49:M49,"✓")+COUNTIF(O49:Q49,"✓")+IF(N(N49)&gt;=2.5,1,0)</f>
        <v/>
      </c>
      <c r="S49" s="11" t="n">
        <v>13</v>
      </c>
      <c r="T49" s="12">
        <f>R49/S49</f>
        <v/>
      </c>
      <c r="U49" s="11">
        <f>IF(R49&gt;=S49,"Completed",IF(B49=TODAY(),"Today",IF(R49&gt;0,"Partial",IF(B49&gt;TODAY(),"Upcoming","Missed"))))</f>
        <v/>
      </c>
      <c r="V49" s="9" t="n"/>
    </row>
    <row r="50">
      <c r="A50" s="9" t="n">
        <v>49</v>
      </c>
      <c r="B50" s="10" t="n">
        <v>46341</v>
      </c>
      <c r="C50" s="9" t="inlineStr">
        <is>
          <t>Review Sunday</t>
        </is>
      </c>
      <c r="D50" s="9" t="inlineStr">
        <is>
          <t>Review week 7</t>
        </is>
      </c>
      <c r="E50" s="11" t="inlineStr"/>
      <c r="F50" s="11" t="inlineStr"/>
      <c r="G50" s="11" t="inlineStr"/>
      <c r="H50" s="11" t="inlineStr"/>
      <c r="I50" s="11" t="inlineStr"/>
      <c r="J50" s="11" t="inlineStr"/>
      <c r="K50" s="11" t="inlineStr"/>
      <c r="L50" s="11" t="inlineStr"/>
      <c r="M50" s="11" t="inlineStr"/>
      <c r="N50" s="11" t="inlineStr"/>
      <c r="O50" s="11" t="inlineStr"/>
      <c r="P50" s="11" t="inlineStr"/>
      <c r="Q50" s="11" t="inlineStr"/>
      <c r="R50" s="11">
        <f>COUNTIF(E50:M50,"✓")+COUNTIF(O50:Q50,"✓")+IF(N(N50)&gt;=2.5,1,0)</f>
        <v/>
      </c>
      <c r="S50" s="11" t="n">
        <v>13</v>
      </c>
      <c r="T50" s="12">
        <f>R50/S50</f>
        <v/>
      </c>
      <c r="U50" s="11">
        <f>IF(R50&gt;=S50,"Completed",IF(B50=TODAY(),"Today",IF(R50&gt;0,"Partial",IF(B50&gt;TODAY(),"Upcoming","Missed"))))</f>
        <v/>
      </c>
      <c r="V50" s="9" t="n"/>
    </row>
    <row r="51">
      <c r="A51" s="9" t="n">
        <v>50</v>
      </c>
      <c r="B51" s="10" t="n">
        <v>46342</v>
      </c>
      <c r="C51" s="9" t="inlineStr">
        <is>
          <t>Office day</t>
        </is>
      </c>
      <c r="D51" s="9" t="inlineStr">
        <is>
          <t>Phase 2 checkpoint</t>
        </is>
      </c>
      <c r="E51" s="11" t="inlineStr"/>
      <c r="F51" s="11" t="inlineStr"/>
      <c r="G51" s="11" t="inlineStr"/>
      <c r="H51" s="11" t="inlineStr"/>
      <c r="I51" s="11" t="inlineStr"/>
      <c r="J51" s="11" t="inlineStr"/>
      <c r="K51" s="11" t="inlineStr"/>
      <c r="L51" s="11" t="inlineStr"/>
      <c r="M51" s="11" t="inlineStr"/>
      <c r="N51" s="11" t="inlineStr"/>
      <c r="O51" s="11" t="inlineStr"/>
      <c r="P51" s="11" t="inlineStr"/>
      <c r="Q51" s="11" t="inlineStr"/>
      <c r="R51" s="11">
        <f>COUNTIF(E51:M51,"✓")+COUNTIF(O51:Q51,"✓")+IF(N(N51)&gt;=2.5,1,0)</f>
        <v/>
      </c>
      <c r="S51" s="11" t="n">
        <v>13</v>
      </c>
      <c r="T51" s="12">
        <f>R51/S51</f>
        <v/>
      </c>
      <c r="U51" s="11">
        <f>IF(R51&gt;=S51,"Completed",IF(B51=TODAY(),"Today",IF(R51&gt;0,"Partial",IF(B51&gt;TODAY(),"Upcoming","Missed"))))</f>
        <v/>
      </c>
      <c r="V51" s="9" t="n"/>
    </row>
    <row r="52">
      <c r="A52" s="9" t="n">
        <v>51</v>
      </c>
      <c r="B52" s="10" t="n">
        <v>46343</v>
      </c>
      <c r="C52" s="9" t="inlineStr">
        <is>
          <t>Office day</t>
        </is>
      </c>
      <c r="D52" s="9" t="inlineStr">
        <is>
          <t>Azure basics</t>
        </is>
      </c>
      <c r="E52" s="11" t="inlineStr"/>
      <c r="F52" s="11" t="inlineStr"/>
      <c r="G52" s="11" t="inlineStr"/>
      <c r="H52" s="11" t="inlineStr"/>
      <c r="I52" s="11" t="inlineStr"/>
      <c r="J52" s="11" t="inlineStr"/>
      <c r="K52" s="11" t="inlineStr"/>
      <c r="L52" s="11" t="inlineStr"/>
      <c r="M52" s="11" t="inlineStr"/>
      <c r="N52" s="11" t="inlineStr"/>
      <c r="O52" s="11" t="inlineStr"/>
      <c r="P52" s="11" t="inlineStr"/>
      <c r="Q52" s="11" t="inlineStr"/>
      <c r="R52" s="11">
        <f>COUNTIF(E52:M52,"✓")+COUNTIF(O52:Q52,"✓")+IF(N(N52)&gt;=2.5,1,0)</f>
        <v/>
      </c>
      <c r="S52" s="11" t="n">
        <v>13</v>
      </c>
      <c r="T52" s="12">
        <f>R52/S52</f>
        <v/>
      </c>
      <c r="U52" s="11">
        <f>IF(R52&gt;=S52,"Completed",IF(B52=TODAY(),"Today",IF(R52&gt;0,"Partial",IF(B52&gt;TODAY(),"Upcoming","Missed"))))</f>
        <v/>
      </c>
      <c r="V52" s="9" t="n"/>
    </row>
    <row r="53">
      <c r="A53" s="9" t="n">
        <v>52</v>
      </c>
      <c r="B53" s="10" t="n">
        <v>46344</v>
      </c>
      <c r="C53" s="9" t="inlineStr">
        <is>
          <t>Office day</t>
        </is>
      </c>
      <c r="D53" s="9" t="inlineStr">
        <is>
          <t>Identity</t>
        </is>
      </c>
      <c r="E53" s="11" t="inlineStr"/>
      <c r="F53" s="11" t="inlineStr"/>
      <c r="G53" s="11" t="inlineStr"/>
      <c r="H53" s="11" t="inlineStr"/>
      <c r="I53" s="11" t="inlineStr"/>
      <c r="J53" s="11" t="inlineStr"/>
      <c r="K53" s="11" t="inlineStr"/>
      <c r="L53" s="11" t="inlineStr"/>
      <c r="M53" s="11" t="inlineStr"/>
      <c r="N53" s="11" t="inlineStr"/>
      <c r="O53" s="11" t="inlineStr"/>
      <c r="P53" s="11" t="inlineStr"/>
      <c r="Q53" s="11" t="inlineStr"/>
      <c r="R53" s="11">
        <f>COUNTIF(E53:M53,"✓")+COUNTIF(O53:Q53,"✓")+IF(N(N53)&gt;=2.5,1,0)</f>
        <v/>
      </c>
      <c r="S53" s="11" t="n">
        <v>13</v>
      </c>
      <c r="T53" s="12">
        <f>R53/S53</f>
        <v/>
      </c>
      <c r="U53" s="11">
        <f>IF(R53&gt;=S53,"Completed",IF(B53=TODAY(),"Today",IF(R53&gt;0,"Partial",IF(B53&gt;TODAY(),"Upcoming","Missed"))))</f>
        <v/>
      </c>
      <c r="V53" s="9" t="n"/>
    </row>
    <row r="54">
      <c r="A54" s="9" t="n">
        <v>53</v>
      </c>
      <c r="B54" s="10" t="n">
        <v>46345</v>
      </c>
      <c r="C54" s="9" t="inlineStr">
        <is>
          <t>Office day</t>
        </is>
      </c>
      <c r="D54" s="9" t="inlineStr">
        <is>
          <t>Compute</t>
        </is>
      </c>
      <c r="E54" s="11" t="inlineStr"/>
      <c r="F54" s="11" t="inlineStr"/>
      <c r="G54" s="11" t="inlineStr"/>
      <c r="H54" s="11" t="inlineStr"/>
      <c r="I54" s="11" t="inlineStr"/>
      <c r="J54" s="11" t="inlineStr"/>
      <c r="K54" s="11" t="inlineStr"/>
      <c r="L54" s="11" t="inlineStr"/>
      <c r="M54" s="11" t="inlineStr"/>
      <c r="N54" s="11" t="inlineStr"/>
      <c r="O54" s="11" t="inlineStr"/>
      <c r="P54" s="11" t="inlineStr"/>
      <c r="Q54" s="11" t="inlineStr"/>
      <c r="R54" s="11">
        <f>COUNTIF(E54:M54,"✓")+COUNTIF(O54:Q54,"✓")+IF(N(N54)&gt;=2.5,1,0)</f>
        <v/>
      </c>
      <c r="S54" s="11" t="n">
        <v>13</v>
      </c>
      <c r="T54" s="12">
        <f>R54/S54</f>
        <v/>
      </c>
      <c r="U54" s="11">
        <f>IF(R54&gt;=S54,"Completed",IF(B54=TODAY(),"Today",IF(R54&gt;0,"Partial",IF(B54&gt;TODAY(),"Upcoming","Missed"))))</f>
        <v/>
      </c>
      <c r="V54" s="9" t="n"/>
    </row>
    <row r="55">
      <c r="A55" s="9" t="n">
        <v>54</v>
      </c>
      <c r="B55" s="10" t="n">
        <v>46346</v>
      </c>
      <c r="C55" s="9" t="inlineStr">
        <is>
          <t>Light Friday</t>
        </is>
      </c>
      <c r="D55" s="9" t="inlineStr">
        <is>
          <t>Storage</t>
        </is>
      </c>
      <c r="E55" s="11" t="inlineStr"/>
      <c r="F55" s="11" t="inlineStr"/>
      <c r="G55" s="11" t="inlineStr"/>
      <c r="H55" s="11" t="inlineStr"/>
      <c r="I55" s="11" t="inlineStr"/>
      <c r="J55" s="11" t="inlineStr"/>
      <c r="K55" s="11" t="inlineStr"/>
      <c r="L55" s="11" t="inlineStr"/>
      <c r="M55" s="11" t="inlineStr"/>
      <c r="N55" s="11" t="inlineStr"/>
      <c r="O55" s="11" t="inlineStr"/>
      <c r="P55" s="11" t="inlineStr"/>
      <c r="Q55" s="11" t="inlineStr"/>
      <c r="R55" s="11">
        <f>COUNTIF(E55:M55,"✓")+COUNTIF(O55:Q55,"✓")+IF(N(N55)&gt;=2.5,1,0)</f>
        <v/>
      </c>
      <c r="S55" s="11" t="n">
        <v>13</v>
      </c>
      <c r="T55" s="12">
        <f>R55/S55</f>
        <v/>
      </c>
      <c r="U55" s="11">
        <f>IF(R55&gt;=S55,"Completed",IF(B55=TODAY(),"Today",IF(R55&gt;0,"Partial",IF(B55&gt;TODAY(),"Upcoming","Missed"))))</f>
        <v/>
      </c>
      <c r="V55" s="9" t="n"/>
    </row>
    <row r="56">
      <c r="A56" s="9" t="n">
        <v>55</v>
      </c>
      <c r="B56" s="10" t="n">
        <v>46347</v>
      </c>
      <c r="C56" s="9" t="inlineStr">
        <is>
          <t>Build Saturday</t>
        </is>
      </c>
      <c r="D56" s="9" t="inlineStr">
        <is>
          <t>Build: .NET on Azure</t>
        </is>
      </c>
      <c r="E56" s="11" t="inlineStr"/>
      <c r="F56" s="11" t="inlineStr"/>
      <c r="G56" s="11" t="inlineStr"/>
      <c r="H56" s="11" t="inlineStr"/>
      <c r="I56" s="11" t="inlineStr"/>
      <c r="J56" s="11" t="inlineStr"/>
      <c r="K56" s="11" t="inlineStr"/>
      <c r="L56" s="11" t="inlineStr"/>
      <c r="M56" s="11" t="inlineStr"/>
      <c r="N56" s="11" t="inlineStr"/>
      <c r="O56" s="11" t="inlineStr"/>
      <c r="P56" s="11" t="inlineStr"/>
      <c r="Q56" s="11" t="inlineStr"/>
      <c r="R56" s="11">
        <f>COUNTIF(E56:M56,"✓")+COUNTIF(O56:Q56,"✓")+IF(N(N56)&gt;=2.5,1,0)</f>
        <v/>
      </c>
      <c r="S56" s="11" t="n">
        <v>13</v>
      </c>
      <c r="T56" s="12">
        <f>R56/S56</f>
        <v/>
      </c>
      <c r="U56" s="11">
        <f>IF(R56&gt;=S56,"Completed",IF(B56=TODAY(),"Today",IF(R56&gt;0,"Partial",IF(B56&gt;TODAY(),"Upcoming","Missed"))))</f>
        <v/>
      </c>
      <c r="V56" s="9" t="n"/>
    </row>
    <row r="57">
      <c r="A57" s="9" t="n">
        <v>56</v>
      </c>
      <c r="B57" s="10" t="n">
        <v>46348</v>
      </c>
      <c r="C57" s="9" t="inlineStr">
        <is>
          <t>Review Sunday</t>
        </is>
      </c>
      <c r="D57" s="9" t="inlineStr">
        <is>
          <t>Review week 8</t>
        </is>
      </c>
      <c r="E57" s="11" t="inlineStr"/>
      <c r="F57" s="11" t="inlineStr"/>
      <c r="G57" s="11" t="inlineStr"/>
      <c r="H57" s="11" t="inlineStr"/>
      <c r="I57" s="11" t="inlineStr"/>
      <c r="J57" s="11" t="inlineStr"/>
      <c r="K57" s="11" t="inlineStr"/>
      <c r="L57" s="11" t="inlineStr"/>
      <c r="M57" s="11" t="inlineStr"/>
      <c r="N57" s="11" t="inlineStr"/>
      <c r="O57" s="11" t="inlineStr"/>
      <c r="P57" s="11" t="inlineStr"/>
      <c r="Q57" s="11" t="inlineStr"/>
      <c r="R57" s="11">
        <f>COUNTIF(E57:M57,"✓")+COUNTIF(O57:Q57,"✓")+IF(N(N57)&gt;=2.5,1,0)</f>
        <v/>
      </c>
      <c r="S57" s="11" t="n">
        <v>13</v>
      </c>
      <c r="T57" s="12">
        <f>R57/S57</f>
        <v/>
      </c>
      <c r="U57" s="11">
        <f>IF(R57&gt;=S57,"Completed",IF(B57=TODAY(),"Today",IF(R57&gt;0,"Partial",IF(B57&gt;TODAY(),"Upcoming","Missed"))))</f>
        <v/>
      </c>
      <c r="V57" s="9" t="n"/>
    </row>
    <row r="58">
      <c r="A58" s="9" t="n">
        <v>57</v>
      </c>
      <c r="B58" s="10" t="n">
        <v>46349</v>
      </c>
      <c r="C58" s="9" t="inlineStr">
        <is>
          <t>Office day</t>
        </is>
      </c>
      <c r="D58" s="9" t="inlineStr">
        <is>
          <t>Distributed rate limiting</t>
        </is>
      </c>
      <c r="E58" s="11" t="inlineStr"/>
      <c r="F58" s="11" t="inlineStr"/>
      <c r="G58" s="11" t="inlineStr"/>
      <c r="H58" s="11" t="inlineStr"/>
      <c r="I58" s="11" t="inlineStr"/>
      <c r="J58" s="11" t="inlineStr"/>
      <c r="K58" s="11" t="inlineStr"/>
      <c r="L58" s="11" t="inlineStr"/>
      <c r="M58" s="11" t="inlineStr"/>
      <c r="N58" s="11" t="inlineStr"/>
      <c r="O58" s="11" t="inlineStr"/>
      <c r="P58" s="11" t="inlineStr"/>
      <c r="Q58" s="11" t="inlineStr"/>
      <c r="R58" s="11">
        <f>COUNTIF(E58:M58,"✓")+COUNTIF(O58:Q58,"✓")+IF(N(N58)&gt;=2.5,1,0)</f>
        <v/>
      </c>
      <c r="S58" s="11" t="n">
        <v>13</v>
      </c>
      <c r="T58" s="12">
        <f>R58/S58</f>
        <v/>
      </c>
      <c r="U58" s="11">
        <f>IF(R58&gt;=S58,"Completed",IF(B58=TODAY(),"Today",IF(R58&gt;0,"Partial",IF(B58&gt;TODAY(),"Upcoming","Missed"))))</f>
        <v/>
      </c>
      <c r="V58" s="9" t="n"/>
    </row>
    <row r="59">
      <c r="A59" s="9" t="n">
        <v>58</v>
      </c>
      <c r="B59" s="10" t="n">
        <v>46350</v>
      </c>
      <c r="C59" s="9" t="inlineStr">
        <is>
          <t>Office day</t>
        </is>
      </c>
      <c r="D59" s="9" t="inlineStr">
        <is>
          <t>Scheduling on Azure</t>
        </is>
      </c>
      <c r="E59" s="11" t="inlineStr"/>
      <c r="F59" s="11" t="inlineStr"/>
      <c r="G59" s="11" t="inlineStr"/>
      <c r="H59" s="11" t="inlineStr"/>
      <c r="I59" s="11" t="inlineStr"/>
      <c r="J59" s="11" t="inlineStr"/>
      <c r="K59" s="11" t="inlineStr"/>
      <c r="L59" s="11" t="inlineStr"/>
      <c r="M59" s="11" t="inlineStr"/>
      <c r="N59" s="11" t="inlineStr"/>
      <c r="O59" s="11" t="inlineStr"/>
      <c r="P59" s="11" t="inlineStr"/>
      <c r="Q59" s="11" t="inlineStr"/>
      <c r="R59" s="11">
        <f>COUNTIF(E59:M59,"✓")+COUNTIF(O59:Q59,"✓")+IF(N(N59)&gt;=2.5,1,0)</f>
        <v/>
      </c>
      <c r="S59" s="11" t="n">
        <v>13</v>
      </c>
      <c r="T59" s="12">
        <f>R59/S59</f>
        <v/>
      </c>
      <c r="U59" s="11">
        <f>IF(R59&gt;=S59,"Completed",IF(B59=TODAY(),"Today",IF(R59&gt;0,"Partial",IF(B59&gt;TODAY(),"Upcoming","Missed"))))</f>
        <v/>
      </c>
      <c r="V59" s="9" t="n"/>
    </row>
    <row r="60">
      <c r="A60" s="9" t="n">
        <v>59</v>
      </c>
      <c r="B60" s="10" t="n">
        <v>46351</v>
      </c>
      <c r="C60" s="9" t="inlineStr">
        <is>
          <t>Office day</t>
        </is>
      </c>
      <c r="D60" s="9" t="inlineStr">
        <is>
          <t>Event-driven</t>
        </is>
      </c>
      <c r="E60" s="11" t="inlineStr"/>
      <c r="F60" s="11" t="inlineStr"/>
      <c r="G60" s="11" t="inlineStr"/>
      <c r="H60" s="11" t="inlineStr"/>
      <c r="I60" s="11" t="inlineStr"/>
      <c r="J60" s="11" t="inlineStr"/>
      <c r="K60" s="11" t="inlineStr"/>
      <c r="L60" s="11" t="inlineStr"/>
      <c r="M60" s="11" t="inlineStr"/>
      <c r="N60" s="11" t="inlineStr"/>
      <c r="O60" s="11" t="inlineStr"/>
      <c r="P60" s="11" t="inlineStr"/>
      <c r="Q60" s="11" t="inlineStr"/>
      <c r="R60" s="11">
        <f>COUNTIF(E60:M60,"✓")+COUNTIF(O60:Q60,"✓")+IF(N(N60)&gt;=2.5,1,0)</f>
        <v/>
      </c>
      <c r="S60" s="11" t="n">
        <v>13</v>
      </c>
      <c r="T60" s="12">
        <f>R60/S60</f>
        <v/>
      </c>
      <c r="U60" s="11">
        <f>IF(R60&gt;=S60,"Completed",IF(B60=TODAY(),"Today",IF(R60&gt;0,"Partial",IF(B60&gt;TODAY(),"Upcoming","Missed"))))</f>
        <v/>
      </c>
      <c r="V60" s="9" t="n"/>
    </row>
    <row r="61">
      <c r="A61" s="9" t="n">
        <v>60</v>
      </c>
      <c r="B61" s="10" t="n">
        <v>46352</v>
      </c>
      <c r="C61" s="9" t="inlineStr">
        <is>
          <t>Office day</t>
        </is>
      </c>
      <c r="D61" s="9" t="inlineStr">
        <is>
          <t>File storage</t>
        </is>
      </c>
      <c r="E61" s="11" t="inlineStr"/>
      <c r="F61" s="11" t="inlineStr"/>
      <c r="G61" s="11" t="inlineStr"/>
      <c r="H61" s="11" t="inlineStr"/>
      <c r="I61" s="11" t="inlineStr"/>
      <c r="J61" s="11" t="inlineStr"/>
      <c r="K61" s="11" t="inlineStr"/>
      <c r="L61" s="11" t="inlineStr"/>
      <c r="M61" s="11" t="inlineStr"/>
      <c r="N61" s="11" t="inlineStr"/>
      <c r="O61" s="11" t="inlineStr"/>
      <c r="P61" s="11" t="inlineStr"/>
      <c r="Q61" s="11" t="inlineStr"/>
      <c r="R61" s="11">
        <f>COUNTIF(E61:M61,"✓")+COUNTIF(O61:Q61,"✓")+IF(N(N61)&gt;=2.5,1,0)</f>
        <v/>
      </c>
      <c r="S61" s="11" t="n">
        <v>13</v>
      </c>
      <c r="T61" s="12">
        <f>R61/S61</f>
        <v/>
      </c>
      <c r="U61" s="11">
        <f>IF(R61&gt;=S61,"Completed",IF(B61=TODAY(),"Today",IF(R61&gt;0,"Partial",IF(B61&gt;TODAY(),"Upcoming","Missed"))))</f>
        <v/>
      </c>
      <c r="V61" s="9" t="n"/>
    </row>
    <row r="62">
      <c r="A62" s="9" t="n">
        <v>61</v>
      </c>
      <c r="B62" s="10" t="n">
        <v>46353</v>
      </c>
      <c r="C62" s="9" t="inlineStr">
        <is>
          <t>Light Friday</t>
        </is>
      </c>
      <c r="D62" s="9" t="inlineStr">
        <is>
          <t>Monitoring</t>
        </is>
      </c>
      <c r="E62" s="11" t="inlineStr"/>
      <c r="F62" s="11" t="inlineStr"/>
      <c r="G62" s="11" t="inlineStr"/>
      <c r="H62" s="11" t="inlineStr"/>
      <c r="I62" s="11" t="inlineStr"/>
      <c r="J62" s="11" t="inlineStr"/>
      <c r="K62" s="11" t="inlineStr"/>
      <c r="L62" s="11" t="inlineStr"/>
      <c r="M62" s="11" t="inlineStr"/>
      <c r="N62" s="11" t="inlineStr"/>
      <c r="O62" s="11" t="inlineStr"/>
      <c r="P62" s="11" t="inlineStr"/>
      <c r="Q62" s="11" t="inlineStr"/>
      <c r="R62" s="11">
        <f>COUNTIF(E62:M62,"✓")+COUNTIF(O62:Q62,"✓")+IF(N(N62)&gt;=2.5,1,0)</f>
        <v/>
      </c>
      <c r="S62" s="11" t="n">
        <v>13</v>
      </c>
      <c r="T62" s="12">
        <f>R62/S62</f>
        <v/>
      </c>
      <c r="U62" s="11">
        <f>IF(R62&gt;=S62,"Completed",IF(B62=TODAY(),"Today",IF(R62&gt;0,"Partial",IF(B62&gt;TODAY(),"Upcoming","Missed"))))</f>
        <v/>
      </c>
      <c r="V62" s="9" t="n"/>
    </row>
    <row r="63">
      <c r="A63" s="9" t="n">
        <v>62</v>
      </c>
      <c r="B63" s="10" t="n">
        <v>46354</v>
      </c>
      <c r="C63" s="9" t="inlineStr">
        <is>
          <t>Build Saturday</t>
        </is>
      </c>
      <c r="D63" s="9" t="inlineStr">
        <is>
          <t>Build: your project story</t>
        </is>
      </c>
      <c r="E63" s="11" t="inlineStr"/>
      <c r="F63" s="11" t="inlineStr"/>
      <c r="G63" s="11" t="inlineStr"/>
      <c r="H63" s="11" t="inlineStr"/>
      <c r="I63" s="11" t="inlineStr"/>
      <c r="J63" s="11" t="inlineStr"/>
      <c r="K63" s="11" t="inlineStr"/>
      <c r="L63" s="11" t="inlineStr"/>
      <c r="M63" s="11" t="inlineStr"/>
      <c r="N63" s="11" t="inlineStr"/>
      <c r="O63" s="11" t="inlineStr"/>
      <c r="P63" s="11" t="inlineStr"/>
      <c r="Q63" s="11" t="inlineStr"/>
      <c r="R63" s="11">
        <f>COUNTIF(E63:M63,"✓")+COUNTIF(O63:Q63,"✓")+IF(N(N63)&gt;=2.5,1,0)</f>
        <v/>
      </c>
      <c r="S63" s="11" t="n">
        <v>13</v>
      </c>
      <c r="T63" s="12">
        <f>R63/S63</f>
        <v/>
      </c>
      <c r="U63" s="11">
        <f>IF(R63&gt;=S63,"Completed",IF(B63=TODAY(),"Today",IF(R63&gt;0,"Partial",IF(B63&gt;TODAY(),"Upcoming","Missed"))))</f>
        <v/>
      </c>
      <c r="V63" s="9" t="n"/>
    </row>
    <row r="64">
      <c r="A64" s="9" t="n">
        <v>63</v>
      </c>
      <c r="B64" s="10" t="n">
        <v>46355</v>
      </c>
      <c r="C64" s="9" t="inlineStr">
        <is>
          <t>Review Sunday</t>
        </is>
      </c>
      <c r="D64" s="9" t="inlineStr">
        <is>
          <t>Review week 9</t>
        </is>
      </c>
      <c r="E64" s="11" t="inlineStr"/>
      <c r="F64" s="11" t="inlineStr"/>
      <c r="G64" s="11" t="inlineStr"/>
      <c r="H64" s="11" t="inlineStr"/>
      <c r="I64" s="11" t="inlineStr"/>
      <c r="J64" s="11" t="inlineStr"/>
      <c r="K64" s="11" t="inlineStr"/>
      <c r="L64" s="11" t="inlineStr"/>
      <c r="M64" s="11" t="inlineStr"/>
      <c r="N64" s="11" t="inlineStr"/>
      <c r="O64" s="11" t="inlineStr"/>
      <c r="P64" s="11" t="inlineStr"/>
      <c r="Q64" s="11" t="inlineStr"/>
      <c r="R64" s="11">
        <f>COUNTIF(E64:M64,"✓")+COUNTIF(O64:Q64,"✓")+IF(N(N64)&gt;=2.5,1,0)</f>
        <v/>
      </c>
      <c r="S64" s="11" t="n">
        <v>13</v>
      </c>
      <c r="T64" s="12">
        <f>R64/S64</f>
        <v/>
      </c>
      <c r="U64" s="11">
        <f>IF(R64&gt;=S64,"Completed",IF(B64=TODAY(),"Today",IF(R64&gt;0,"Partial",IF(B64&gt;TODAY(),"Upcoming","Missed"))))</f>
        <v/>
      </c>
      <c r="V64" s="9" t="n"/>
    </row>
    <row r="65">
      <c r="A65" s="9" t="n">
        <v>64</v>
      </c>
      <c r="B65" s="10" t="n">
        <v>46356</v>
      </c>
      <c r="C65" s="9" t="inlineStr">
        <is>
          <t>Office day</t>
        </is>
      </c>
      <c r="D65" s="9" t="inlineStr">
        <is>
          <t>Leaderboards</t>
        </is>
      </c>
      <c r="E65" s="11" t="inlineStr"/>
      <c r="F65" s="11" t="inlineStr"/>
      <c r="G65" s="11" t="inlineStr"/>
      <c r="H65" s="11" t="inlineStr"/>
      <c r="I65" s="11" t="inlineStr"/>
      <c r="J65" s="11" t="inlineStr"/>
      <c r="K65" s="11" t="inlineStr"/>
      <c r="L65" s="11" t="inlineStr"/>
      <c r="M65" s="11" t="inlineStr"/>
      <c r="N65" s="11" t="inlineStr"/>
      <c r="O65" s="11" t="inlineStr"/>
      <c r="P65" s="11" t="inlineStr"/>
      <c r="Q65" s="11" t="inlineStr"/>
      <c r="R65" s="11">
        <f>COUNTIF(E65:M65,"✓")+COUNTIF(O65:Q65,"✓")+IF(N(N65)&gt;=2.5,1,0)</f>
        <v/>
      </c>
      <c r="S65" s="11" t="n">
        <v>13</v>
      </c>
      <c r="T65" s="12">
        <f>R65/S65</f>
        <v/>
      </c>
      <c r="U65" s="11">
        <f>IF(R65&gt;=S65,"Completed",IF(B65=TODAY(),"Today",IF(R65&gt;0,"Partial",IF(B65&gt;TODAY(),"Upcoming","Missed"))))</f>
        <v/>
      </c>
      <c r="V65" s="9" t="n"/>
    </row>
    <row r="66">
      <c r="A66" s="9" t="n">
        <v>65</v>
      </c>
      <c r="B66" s="10" t="n">
        <v>46357</v>
      </c>
      <c r="C66" s="9" t="inlineStr">
        <is>
          <t>Office day</t>
        </is>
      </c>
      <c r="D66" s="9" t="inlineStr">
        <is>
          <t>Social feed</t>
        </is>
      </c>
      <c r="E66" s="11" t="inlineStr"/>
      <c r="F66" s="11" t="inlineStr"/>
      <c r="G66" s="11" t="inlineStr"/>
      <c r="H66" s="11" t="inlineStr"/>
      <c r="I66" s="11" t="inlineStr"/>
      <c r="J66" s="11" t="inlineStr"/>
      <c r="K66" s="11" t="inlineStr"/>
      <c r="L66" s="11" t="inlineStr"/>
      <c r="M66" s="11" t="inlineStr"/>
      <c r="N66" s="11" t="inlineStr"/>
      <c r="O66" s="11" t="inlineStr"/>
      <c r="P66" s="11" t="inlineStr"/>
      <c r="Q66" s="11" t="inlineStr"/>
      <c r="R66" s="11">
        <f>COUNTIF(E66:M66,"✓")+COUNTIF(O66:Q66,"✓")+IF(N(N66)&gt;=2.5,1,0)</f>
        <v/>
      </c>
      <c r="S66" s="11" t="n">
        <v>13</v>
      </c>
      <c r="T66" s="12">
        <f>R66/S66</f>
        <v/>
      </c>
      <c r="U66" s="11">
        <f>IF(R66&gt;=S66,"Completed",IF(B66=TODAY(),"Today",IF(R66&gt;0,"Partial",IF(B66&gt;TODAY(),"Upcoming","Missed"))))</f>
        <v/>
      </c>
      <c r="V66" s="9" t="n"/>
    </row>
    <row r="67">
      <c r="A67" s="9" t="n">
        <v>66</v>
      </c>
      <c r="B67" s="10" t="n">
        <v>46358</v>
      </c>
      <c r="C67" s="9" t="inlineStr">
        <is>
          <t>Office day</t>
        </is>
      </c>
      <c r="D67" s="9" t="inlineStr">
        <is>
          <t>Messaging</t>
        </is>
      </c>
      <c r="E67" s="11" t="inlineStr"/>
      <c r="F67" s="11" t="inlineStr"/>
      <c r="G67" s="11" t="inlineStr"/>
      <c r="H67" s="11" t="inlineStr"/>
      <c r="I67" s="11" t="inlineStr"/>
      <c r="J67" s="11" t="inlineStr"/>
      <c r="K67" s="11" t="inlineStr"/>
      <c r="L67" s="11" t="inlineStr"/>
      <c r="M67" s="11" t="inlineStr"/>
      <c r="N67" s="11" t="inlineStr"/>
      <c r="O67" s="11" t="inlineStr"/>
      <c r="P67" s="11" t="inlineStr"/>
      <c r="Q67" s="11" t="inlineStr"/>
      <c r="R67" s="11">
        <f>COUNTIF(E67:M67,"✓")+COUNTIF(O67:Q67,"✓")+IF(N(N67)&gt;=2.5,1,0)</f>
        <v/>
      </c>
      <c r="S67" s="11" t="n">
        <v>13</v>
      </c>
      <c r="T67" s="12">
        <f>R67/S67</f>
        <v/>
      </c>
      <c r="U67" s="11">
        <f>IF(R67&gt;=S67,"Completed",IF(B67=TODAY(),"Today",IF(R67&gt;0,"Partial",IF(B67&gt;TODAY(),"Upcoming","Missed"))))</f>
        <v/>
      </c>
      <c r="V67" s="9" t="n"/>
    </row>
    <row r="68">
      <c r="A68" s="9" t="n">
        <v>67</v>
      </c>
      <c r="B68" s="10" t="n">
        <v>46359</v>
      </c>
      <c r="C68" s="9" t="inlineStr">
        <is>
          <t>Office day</t>
        </is>
      </c>
      <c r="D68" s="9" t="inlineStr">
        <is>
          <t>Video</t>
        </is>
      </c>
      <c r="E68" s="11" t="inlineStr"/>
      <c r="F68" s="11" t="inlineStr"/>
      <c r="G68" s="11" t="inlineStr"/>
      <c r="H68" s="11" t="inlineStr"/>
      <c r="I68" s="11" t="inlineStr"/>
      <c r="J68" s="11" t="inlineStr"/>
      <c r="K68" s="11" t="inlineStr"/>
      <c r="L68" s="11" t="inlineStr"/>
      <c r="M68" s="11" t="inlineStr"/>
      <c r="N68" s="11" t="inlineStr"/>
      <c r="O68" s="11" t="inlineStr"/>
      <c r="P68" s="11" t="inlineStr"/>
      <c r="Q68" s="11" t="inlineStr"/>
      <c r="R68" s="11">
        <f>COUNTIF(E68:M68,"✓")+COUNTIF(O68:Q68,"✓")+IF(N(N68)&gt;=2.5,1,0)</f>
        <v/>
      </c>
      <c r="S68" s="11" t="n">
        <v>13</v>
      </c>
      <c r="T68" s="12">
        <f>R68/S68</f>
        <v/>
      </c>
      <c r="U68" s="11">
        <f>IF(R68&gt;=S68,"Completed",IF(B68=TODAY(),"Today",IF(R68&gt;0,"Partial",IF(B68&gt;TODAY(),"Upcoming","Missed"))))</f>
        <v/>
      </c>
      <c r="V68" s="9" t="n"/>
    </row>
    <row r="69">
      <c r="A69" s="9" t="n">
        <v>68</v>
      </c>
      <c r="B69" s="10" t="n">
        <v>46360</v>
      </c>
      <c r="C69" s="9" t="inlineStr">
        <is>
          <t>Light Friday</t>
        </is>
      </c>
      <c r="D69" s="9" t="inlineStr">
        <is>
          <t>Cheat sheets</t>
        </is>
      </c>
      <c r="E69" s="11" t="inlineStr"/>
      <c r="F69" s="11" t="inlineStr"/>
      <c r="G69" s="11" t="inlineStr"/>
      <c r="H69" s="11" t="inlineStr"/>
      <c r="I69" s="11" t="inlineStr"/>
      <c r="J69" s="11" t="inlineStr"/>
      <c r="K69" s="11" t="inlineStr"/>
      <c r="L69" s="11" t="inlineStr"/>
      <c r="M69" s="11" t="inlineStr"/>
      <c r="N69" s="11" t="inlineStr"/>
      <c r="O69" s="11" t="inlineStr"/>
      <c r="P69" s="11" t="inlineStr"/>
      <c r="Q69" s="11" t="inlineStr"/>
      <c r="R69" s="11">
        <f>COUNTIF(E69:M69,"✓")+COUNTIF(O69:Q69,"✓")+IF(N(N69)&gt;=2.5,1,0)</f>
        <v/>
      </c>
      <c r="S69" s="11" t="n">
        <v>13</v>
      </c>
      <c r="T69" s="12">
        <f>R69/S69</f>
        <v/>
      </c>
      <c r="U69" s="11">
        <f>IF(R69&gt;=S69,"Completed",IF(B69=TODAY(),"Today",IF(R69&gt;0,"Partial",IF(B69&gt;TODAY(),"Upcoming","Missed"))))</f>
        <v/>
      </c>
      <c r="V69" s="9" t="n"/>
    </row>
    <row r="70">
      <c r="A70" s="9" t="n">
        <v>69</v>
      </c>
      <c r="B70" s="10" t="n">
        <v>46361</v>
      </c>
      <c r="C70" s="9" t="inlineStr">
        <is>
          <t>Build Saturday</t>
        </is>
      </c>
      <c r="D70" s="9" t="inlineStr">
        <is>
          <t>Build: mocks</t>
        </is>
      </c>
      <c r="E70" s="11" t="inlineStr"/>
      <c r="F70" s="11" t="inlineStr"/>
      <c r="G70" s="11" t="inlineStr"/>
      <c r="H70" s="11" t="inlineStr"/>
      <c r="I70" s="11" t="inlineStr"/>
      <c r="J70" s="11" t="inlineStr"/>
      <c r="K70" s="11" t="inlineStr"/>
      <c r="L70" s="11" t="inlineStr"/>
      <c r="M70" s="11" t="inlineStr"/>
      <c r="N70" s="11" t="inlineStr"/>
      <c r="O70" s="11" t="inlineStr"/>
      <c r="P70" s="11" t="inlineStr"/>
      <c r="Q70" s="11" t="inlineStr"/>
      <c r="R70" s="11">
        <f>COUNTIF(E70:M70,"✓")+COUNTIF(O70:Q70,"✓")+IF(N(N70)&gt;=2.5,1,0)</f>
        <v/>
      </c>
      <c r="S70" s="11" t="n">
        <v>13</v>
      </c>
      <c r="T70" s="12">
        <f>R70/S70</f>
        <v/>
      </c>
      <c r="U70" s="11">
        <f>IF(R70&gt;=S70,"Completed",IF(B70=TODAY(),"Today",IF(R70&gt;0,"Partial",IF(B70&gt;TODAY(),"Upcoming","Missed"))))</f>
        <v/>
      </c>
      <c r="V70" s="9" t="n"/>
    </row>
    <row r="71">
      <c r="A71" s="9" t="n">
        <v>70</v>
      </c>
      <c r="B71" s="10" t="n">
        <v>46362</v>
      </c>
      <c r="C71" s="9" t="inlineStr">
        <is>
          <t>Review Sunday</t>
        </is>
      </c>
      <c r="D71" s="9" t="inlineStr">
        <is>
          <t>Review week 10</t>
        </is>
      </c>
      <c r="E71" s="11" t="inlineStr"/>
      <c r="F71" s="11" t="inlineStr"/>
      <c r="G71" s="11" t="inlineStr"/>
      <c r="H71" s="11" t="inlineStr"/>
      <c r="I71" s="11" t="inlineStr"/>
      <c r="J71" s="11" t="inlineStr"/>
      <c r="K71" s="11" t="inlineStr"/>
      <c r="L71" s="11" t="inlineStr"/>
      <c r="M71" s="11" t="inlineStr"/>
      <c r="N71" s="11" t="inlineStr"/>
      <c r="O71" s="11" t="inlineStr"/>
      <c r="P71" s="11" t="inlineStr"/>
      <c r="Q71" s="11" t="inlineStr"/>
      <c r="R71" s="11">
        <f>COUNTIF(E71:M71,"✓")+COUNTIF(O71:Q71,"✓")+IF(N(N71)&gt;=2.5,1,0)</f>
        <v/>
      </c>
      <c r="S71" s="11" t="n">
        <v>13</v>
      </c>
      <c r="T71" s="12">
        <f>R71/S71</f>
        <v/>
      </c>
      <c r="U71" s="11">
        <f>IF(R71&gt;=S71,"Completed",IF(B71=TODAY(),"Today",IF(R71&gt;0,"Partial",IF(B71&gt;TODAY(),"Upcoming","Missed"))))</f>
        <v/>
      </c>
      <c r="V71" s="9" t="n"/>
    </row>
    <row r="72">
      <c r="A72" s="9" t="n">
        <v>71</v>
      </c>
      <c r="B72" s="10" t="n">
        <v>46363</v>
      </c>
      <c r="C72" s="9" t="inlineStr">
        <is>
          <t>Office day</t>
        </is>
      </c>
      <c r="D72" s="9" t="inlineStr">
        <is>
          <t>Payments</t>
        </is>
      </c>
      <c r="E72" s="11" t="inlineStr"/>
      <c r="F72" s="11" t="inlineStr"/>
      <c r="G72" s="11" t="inlineStr"/>
      <c r="H72" s="11" t="inlineStr"/>
      <c r="I72" s="11" t="inlineStr"/>
      <c r="J72" s="11" t="inlineStr"/>
      <c r="K72" s="11" t="inlineStr"/>
      <c r="L72" s="11" t="inlineStr"/>
      <c r="M72" s="11" t="inlineStr"/>
      <c r="N72" s="11" t="inlineStr"/>
      <c r="O72" s="11" t="inlineStr"/>
      <c r="P72" s="11" t="inlineStr"/>
      <c r="Q72" s="11" t="inlineStr"/>
      <c r="R72" s="11">
        <f>COUNTIF(E72:M72,"✓")+COUNTIF(O72:Q72,"✓")+IF(N(N72)&gt;=2.5,1,0)</f>
        <v/>
      </c>
      <c r="S72" s="11" t="n">
        <v>13</v>
      </c>
      <c r="T72" s="12">
        <f>R72/S72</f>
        <v/>
      </c>
      <c r="U72" s="11">
        <f>IF(R72&gt;=S72,"Completed",IF(B72=TODAY(),"Today",IF(R72&gt;0,"Partial",IF(B72&gt;TODAY(),"Upcoming","Missed"))))</f>
        <v/>
      </c>
      <c r="V72" s="9" t="n"/>
    </row>
    <row r="73">
      <c r="A73" s="9" t="n">
        <v>72</v>
      </c>
      <c r="B73" s="10" t="n">
        <v>46364</v>
      </c>
      <c r="C73" s="9" t="inlineStr">
        <is>
          <t>Office day</t>
        </is>
      </c>
      <c r="D73" s="9" t="inlineStr">
        <is>
          <t>Booking</t>
        </is>
      </c>
      <c r="E73" s="11" t="inlineStr"/>
      <c r="F73" s="11" t="inlineStr"/>
      <c r="G73" s="11" t="inlineStr"/>
      <c r="H73" s="11" t="inlineStr"/>
      <c r="I73" s="11" t="inlineStr"/>
      <c r="J73" s="11" t="inlineStr"/>
      <c r="K73" s="11" t="inlineStr"/>
      <c r="L73" s="11" t="inlineStr"/>
      <c r="M73" s="11" t="inlineStr"/>
      <c r="N73" s="11" t="inlineStr"/>
      <c r="O73" s="11" t="inlineStr"/>
      <c r="P73" s="11" t="inlineStr"/>
      <c r="Q73" s="11" t="inlineStr"/>
      <c r="R73" s="11">
        <f>COUNTIF(E73:M73,"✓")+COUNTIF(O73:Q73,"✓")+IF(N(N73)&gt;=2.5,1,0)</f>
        <v/>
      </c>
      <c r="S73" s="11" t="n">
        <v>13</v>
      </c>
      <c r="T73" s="12">
        <f>R73/S73</f>
        <v/>
      </c>
      <c r="U73" s="11">
        <f>IF(R73&gt;=S73,"Completed",IF(B73=TODAY(),"Today",IF(R73&gt;0,"Partial",IF(B73&gt;TODAY(),"Upcoming","Missed"))))</f>
        <v/>
      </c>
      <c r="V73" s="9" t="n"/>
    </row>
    <row r="74">
      <c r="A74" s="9" t="n">
        <v>73</v>
      </c>
      <c r="B74" s="10" t="n">
        <v>46365</v>
      </c>
      <c r="C74" s="9" t="inlineStr">
        <is>
          <t>Office day</t>
        </is>
      </c>
      <c r="D74" s="9" t="inlineStr">
        <is>
          <t>Mock day</t>
        </is>
      </c>
      <c r="E74" s="11" t="inlineStr"/>
      <c r="F74" s="11" t="inlineStr"/>
      <c r="G74" s="11" t="inlineStr"/>
      <c r="H74" s="11" t="inlineStr"/>
      <c r="I74" s="11" t="inlineStr"/>
      <c r="J74" s="11" t="inlineStr"/>
      <c r="K74" s="11" t="inlineStr"/>
      <c r="L74" s="11" t="inlineStr"/>
      <c r="M74" s="11" t="inlineStr"/>
      <c r="N74" s="11" t="inlineStr"/>
      <c r="O74" s="11" t="inlineStr"/>
      <c r="P74" s="11" t="inlineStr"/>
      <c r="Q74" s="11" t="inlineStr"/>
      <c r="R74" s="11">
        <f>COUNTIF(E74:M74,"✓")+COUNTIF(O74:Q74,"✓")+IF(N(N74)&gt;=2.5,1,0)</f>
        <v/>
      </c>
      <c r="S74" s="11" t="n">
        <v>13</v>
      </c>
      <c r="T74" s="12">
        <f>R74/S74</f>
        <v/>
      </c>
      <c r="U74" s="11">
        <f>IF(R74&gt;=S74,"Completed",IF(B74=TODAY(),"Today",IF(R74&gt;0,"Partial",IF(B74&gt;TODAY(),"Upcoming","Missed"))))</f>
        <v/>
      </c>
      <c r="V74" s="9" t="n"/>
    </row>
    <row r="75">
      <c r="A75" s="9" t="n">
        <v>74</v>
      </c>
      <c r="B75" s="10" t="n">
        <v>46366</v>
      </c>
      <c r="C75" s="9" t="inlineStr">
        <is>
          <t>Office day</t>
        </is>
      </c>
      <c r="D75" s="9" t="inlineStr">
        <is>
          <t>Tell your story</t>
        </is>
      </c>
      <c r="E75" s="11" t="inlineStr"/>
      <c r="F75" s="11" t="inlineStr"/>
      <c r="G75" s="11" t="inlineStr"/>
      <c r="H75" s="11" t="inlineStr"/>
      <c r="I75" s="11" t="inlineStr"/>
      <c r="J75" s="11" t="inlineStr"/>
      <c r="K75" s="11" t="inlineStr"/>
      <c r="L75" s="11" t="inlineStr"/>
      <c r="M75" s="11" t="inlineStr"/>
      <c r="N75" s="11" t="inlineStr"/>
      <c r="O75" s="11" t="inlineStr"/>
      <c r="P75" s="11" t="inlineStr"/>
      <c r="Q75" s="11" t="inlineStr"/>
      <c r="R75" s="11">
        <f>COUNTIF(E75:M75,"✓")+COUNTIF(O75:Q75,"✓")+IF(N(N75)&gt;=2.5,1,0)</f>
        <v/>
      </c>
      <c r="S75" s="11" t="n">
        <v>13</v>
      </c>
      <c r="T75" s="12">
        <f>R75/S75</f>
        <v/>
      </c>
      <c r="U75" s="11">
        <f>IF(R75&gt;=S75,"Completed",IF(B75=TODAY(),"Today",IF(R75&gt;0,"Partial",IF(B75&gt;TODAY(),"Upcoming","Missed"))))</f>
        <v/>
      </c>
      <c r="V75" s="9" t="n"/>
    </row>
    <row r="76">
      <c r="A76" s="9" t="n">
        <v>75</v>
      </c>
      <c r="B76" s="10" t="n">
        <v>46367</v>
      </c>
      <c r="C76" s="9" t="inlineStr">
        <is>
          <t>Light Friday</t>
        </is>
      </c>
      <c r="D76" s="9" t="inlineStr">
        <is>
          <t>Day 75: finish line</t>
        </is>
      </c>
      <c r="E76" s="11" t="inlineStr"/>
      <c r="F76" s="11" t="inlineStr"/>
      <c r="G76" s="11" t="inlineStr"/>
      <c r="H76" s="11" t="inlineStr"/>
      <c r="I76" s="11" t="inlineStr"/>
      <c r="J76" s="11" t="inlineStr"/>
      <c r="K76" s="11" t="inlineStr"/>
      <c r="L76" s="11" t="inlineStr"/>
      <c r="M76" s="11" t="inlineStr"/>
      <c r="N76" s="11" t="inlineStr"/>
      <c r="O76" s="11" t="inlineStr"/>
      <c r="P76" s="11" t="inlineStr"/>
      <c r="Q76" s="11" t="inlineStr"/>
      <c r="R76" s="11">
        <f>COUNTIF(E76:M76,"✓")+COUNTIF(O76:Q76,"✓")+IF(N(N76)&gt;=2.5,1,0)</f>
        <v/>
      </c>
      <c r="S76" s="11" t="n">
        <v>13</v>
      </c>
      <c r="T76" s="12">
        <f>R76/S76</f>
        <v/>
      </c>
      <c r="U76" s="11">
        <f>IF(R76&gt;=S76,"Completed",IF(B76=TODAY(),"Today",IF(R76&gt;0,"Partial",IF(B76&gt;TODAY(),"Upcoming","Missed"))))</f>
        <v/>
      </c>
      <c r="V76" s="9" t="n"/>
    </row>
  </sheetData>
  <autoFilter ref="A1:V76"/>
  <conditionalFormatting sqref="U2:U76">
    <cfRule type="cellIs" priority="1" operator="equal" dxfId="0">
      <formula>"Completed"</formula>
    </cfRule>
    <cfRule type="cellIs" priority="2" operator="equal" dxfId="1">
      <formula>"Partial"</formula>
    </cfRule>
    <cfRule type="cellIs" priority="3" operator="equal" dxfId="2">
      <formula>"Missed"</formula>
    </cfRule>
    <cfRule type="cellIs" priority="4" operator="equal" dxfId="3">
      <formula>"Today"</formula>
    </cfRule>
    <cfRule type="cellIs" priority="5" operator="equal" dxfId="4">
      <formula>"Upcoming"</formula>
    </cfRule>
  </conditionalFormatting>
  <conditionalFormatting sqref="E2:Q76">
    <cfRule type="cellIs" priority="6" operator="equal" dxfId="0">
      <formula>"✓"</formula>
    </cfRule>
  </conditionalFormatting>
  <conditionalFormatting sqref="A2:D76">
    <cfRule type="expression" priority="7" dxfId="5">
      <formula>$B2=TODAY()</formula>
    </cfRule>
  </conditionalFormatting>
  <dataValidations count="2">
    <dataValidation sqref="E2:M76 O2:Q76" showDropDown="0" showInputMessage="0" showErrorMessage="0" allowBlank="1" promptTitle="Done?" prompt="Pick ✓ when done" type="list">
      <formula1>"✓"</formula1>
    </dataValidation>
    <dataValidation sqref="N2:N76" showDropDown="0" showInputMessage="0" showErrorMessage="0" allowBlank="1" type="list">
      <formula1>"0,0.5,1,1.5,2,2.5,3"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7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8" customWidth="1" min="3" max="3"/>
    <col width="14" customWidth="1" min="4" max="4"/>
    <col width="7" customWidth="1" min="5" max="5"/>
    <col width="6" customWidth="1" min="6" max="6"/>
    <col width="26" customWidth="1" min="7" max="7"/>
    <col width="20" customWidth="1" min="8" max="8"/>
    <col width="40" customWidth="1" min="9" max="9"/>
    <col width="30" customWidth="1" min="10" max="10"/>
    <col width="8" customWidth="1" min="11" max="11"/>
    <col width="30" customWidth="1" min="12" max="12"/>
    <col width="8" customWidth="1" min="13" max="13"/>
    <col width="30" customWidth="1" min="14" max="14"/>
    <col width="8" customWidth="1" min="15" max="15"/>
    <col width="36" customWidth="1" min="16" max="16"/>
    <col width="60" customWidth="1" min="17" max="17"/>
    <col width="40" customWidth="1" min="18" max="18"/>
    <col width="44" customWidth="1" min="19" max="19"/>
    <col width="50" customWidth="1" min="20" max="20"/>
    <col width="36" customWidth="1" min="21" max="21"/>
    <col width="8" customWidth="1" min="22" max="22"/>
    <col width="40" customWidth="1" min="23" max="23"/>
    <col width="8" customWidth="1" min="24" max="24"/>
  </cols>
  <sheetData>
    <row r="1" ht="30" customHeight="1">
      <c r="A1" s="8" t="inlineStr">
        <is>
          <t>Day</t>
        </is>
      </c>
      <c r="B1" s="8" t="inlineStr">
        <is>
          <t>Date</t>
        </is>
      </c>
      <c r="C1" s="8" t="inlineStr">
        <is>
          <t>Weekday</t>
        </is>
      </c>
      <c r="D1" s="8" t="inlineStr">
        <is>
          <t>Type</t>
        </is>
      </c>
      <c r="E1" s="8" t="inlineStr">
        <is>
          <t>Phase</t>
        </is>
      </c>
      <c r="F1" s="8" t="inlineStr">
        <is>
          <t>Week</t>
        </is>
      </c>
      <c r="G1" s="8" t="inlineStr">
        <is>
          <t>Theme</t>
        </is>
      </c>
      <c r="H1" s="8" t="inlineStr">
        <is>
          <t>DSA pattern</t>
        </is>
      </c>
      <c r="I1" s="8" t="inlineStr">
        <is>
          <t>Approach</t>
        </is>
      </c>
      <c r="J1" s="8" t="inlineStr">
        <is>
          <t>LeetCode 1</t>
        </is>
      </c>
      <c r="K1" s="8" t="inlineStr">
        <is>
          <t>Diff</t>
        </is>
      </c>
      <c r="L1" s="8" t="inlineStr">
        <is>
          <t>LeetCode 2</t>
        </is>
      </c>
      <c r="M1" s="8" t="inlineStr">
        <is>
          <t>Diff</t>
        </is>
      </c>
      <c r="N1" s="8" t="inlineStr">
        <is>
          <t>LeetCode 3</t>
        </is>
      </c>
      <c r="O1" s="8" t="inlineStr">
        <is>
          <t>Diff</t>
        </is>
      </c>
      <c r="P1" s="8" t="inlineStr">
        <is>
          <t>HLD read (lunch)</t>
        </is>
      </c>
      <c r="Q1" s="8" t="inlineStr">
        <is>
          <t>HLD key points</t>
        </is>
      </c>
      <c r="R1" s="8" t="inlineStr">
        <is>
          <t>LLD in C# (9 pm)</t>
        </is>
      </c>
      <c r="S1" s="8" t="inlineStr">
        <is>
          <t>Cloud lab (9:50 pm)</t>
        </is>
      </c>
      <c r="T1" s="8" t="inlineStr">
        <is>
          <t>Checkpoint pass criteria</t>
        </is>
      </c>
      <c r="U1" s="8" t="inlineStr">
        <is>
          <t>SQL (lunch)</t>
        </is>
      </c>
      <c r="V1" s="8" t="inlineStr">
        <is>
          <t>Diff</t>
        </is>
      </c>
      <c r="W1" s="8" t="inlineStr">
        <is>
          <t>Design coding (9:30 pm)</t>
        </is>
      </c>
      <c r="X1" s="8" t="inlineStr">
        <is>
          <t>Diff</t>
        </is>
      </c>
    </row>
    <row r="2" ht="48" customHeight="1">
      <c r="A2" s="13" t="n">
        <v>1</v>
      </c>
      <c r="B2" s="14" t="n">
        <v>46293</v>
      </c>
      <c r="C2" s="13" t="inlineStr">
        <is>
          <t>Mon</t>
        </is>
      </c>
      <c r="D2" s="13" t="inlineStr">
        <is>
          <t>Office day</t>
        </is>
      </c>
      <c r="E2" s="13" t="n">
        <v>1</v>
      </c>
      <c r="F2" s="13" t="n">
        <v>1</v>
      </c>
      <c r="G2" s="13" t="inlineStr">
        <is>
          <t>How the web works</t>
        </is>
      </c>
      <c r="H2" s="13" t="inlineStr">
        <is>
          <t>Arrays &amp; hashing</t>
        </is>
      </c>
      <c r="I2" s="13" t="inlineStr">
        <is>
          <t>Trade memory for time: a HashMap / HashSet turns an O(n^2) scan into O(n).</t>
        </is>
      </c>
      <c r="J2" s="15" t="inlineStr">
        <is>
          <t>Group Anagrams</t>
        </is>
      </c>
      <c r="K2" s="16" t="inlineStr">
        <is>
          <t>Medium</t>
        </is>
      </c>
      <c r="L2" s="15" t="inlineStr">
        <is>
          <t>Top K Frequent Elements</t>
        </is>
      </c>
      <c r="M2" s="16" t="inlineStr">
        <is>
          <t>Medium</t>
        </is>
      </c>
      <c r="N2" s="15" t="inlineStr">
        <is>
          <t>First Missing Positive</t>
        </is>
      </c>
      <c r="O2" s="17" t="inlineStr">
        <is>
          <t>Hard</t>
        </is>
      </c>
      <c r="P2" s="13" t="inlineStr">
        <is>
          <t>What happens when you type a URL: DNS, TCP, HTTP</t>
        </is>
      </c>
      <c r="Q2" s="13" t="inlineStr">
        <is>
          <t>• DNS resolves the name, TCP (+TLS) opens the connection, HTTP carries the request
• Browser cache → OS → resolver → root/TLD/authoritative servers
• Where latency is spent: DNS, handshake, server time, download</t>
        </is>
      </c>
      <c r="R2" s="13" t="inlineStr">
        <is>
          <t>Classes, objects and encapsulation in C#</t>
        </is>
      </c>
      <c r="S2" s="13" t="inlineStr">
        <is>
          <t>AWS: AWS regions and AZs; free-tier account + billing alarm</t>
        </is>
      </c>
      <c r="T2" s="13" t="inlineStr"/>
      <c r="U2" s="15" t="inlineStr">
        <is>
          <t>Recyclable and Low Fat Products</t>
        </is>
      </c>
      <c r="V2" s="18" t="inlineStr">
        <is>
          <t>Easy</t>
        </is>
      </c>
      <c r="W2" s="15" t="inlineStr">
        <is>
          <t>Design Browser History</t>
        </is>
      </c>
      <c r="X2" s="16" t="inlineStr">
        <is>
          <t>Medium</t>
        </is>
      </c>
    </row>
    <row r="3" ht="48" customHeight="1">
      <c r="A3" s="13" t="n">
        <v>2</v>
      </c>
      <c r="B3" s="14" t="n">
        <v>46294</v>
      </c>
      <c r="C3" s="13" t="inlineStr">
        <is>
          <t>Tue</t>
        </is>
      </c>
      <c r="D3" s="13" t="inlineStr">
        <is>
          <t>Office day</t>
        </is>
      </c>
      <c r="E3" s="13" t="n">
        <v>1</v>
      </c>
      <c r="F3" s="13" t="n">
        <v>1</v>
      </c>
      <c r="G3" s="13" t="inlineStr">
        <is>
          <t>Scaling a server</t>
        </is>
      </c>
      <c r="H3" s="13" t="inlineStr">
        <is>
          <t>Arrays &amp; hashing</t>
        </is>
      </c>
      <c r="I3" s="13" t="inlineStr">
        <is>
          <t>Trade memory for time: a HashMap / HashSet turns an O(n^2) scan into O(n).</t>
        </is>
      </c>
      <c r="J3" s="15" t="inlineStr">
        <is>
          <t>Product of Array Except Self</t>
        </is>
      </c>
      <c r="K3" s="16" t="inlineStr">
        <is>
          <t>Medium</t>
        </is>
      </c>
      <c r="L3" s="15" t="inlineStr">
        <is>
          <t>Longest Consecutive Sequence</t>
        </is>
      </c>
      <c r="M3" s="16" t="inlineStr">
        <is>
          <t>Medium</t>
        </is>
      </c>
      <c r="N3" s="15" t="inlineStr">
        <is>
          <t>Insert Delete GetRandom O(1) - Duplicates allowed</t>
        </is>
      </c>
      <c r="O3" s="17" t="inlineStr">
        <is>
          <t>Hard</t>
        </is>
      </c>
      <c r="P3" s="13" t="inlineStr">
        <is>
          <t>Vertical vs horizontal scaling</t>
        </is>
      </c>
      <c r="Q3" s="13" t="inlineStr">
        <is>
          <t>• Vertical = bigger machine: simple, has a ceiling and a single point of failure
• Horizontal = more machines: needs a load balancer and stateless app servers
• Scale reads with replicas and caches before sharding writes</t>
        </is>
      </c>
      <c r="R3" s="13" t="inlineStr">
        <is>
          <t>Inheritance vs composition</t>
        </is>
      </c>
      <c r="S3" s="13" t="inlineStr">
        <is>
          <t>AWS: IAM: users, groups, roles, policies, MFA</t>
        </is>
      </c>
      <c r="T3" s="13" t="inlineStr"/>
      <c r="U3" s="15" t="inlineStr">
        <is>
          <t>Find Customer Referee</t>
        </is>
      </c>
      <c r="V3" s="18" t="inlineStr">
        <is>
          <t>Easy</t>
        </is>
      </c>
      <c r="W3" s="15" t="inlineStr">
        <is>
          <t>Design HashMap</t>
        </is>
      </c>
      <c r="X3" s="18" t="inlineStr">
        <is>
          <t>Easy</t>
        </is>
      </c>
    </row>
    <row r="4" ht="48" customHeight="1">
      <c r="A4" s="13" t="n">
        <v>3</v>
      </c>
      <c r="B4" s="14" t="n">
        <v>46295</v>
      </c>
      <c r="C4" s="13" t="inlineStr">
        <is>
          <t>Wed</t>
        </is>
      </c>
      <c r="D4" s="13" t="inlineStr">
        <is>
          <t>Office day</t>
        </is>
      </c>
      <c r="E4" s="13" t="n">
        <v>1</v>
      </c>
      <c r="F4" s="13" t="n">
        <v>1</v>
      </c>
      <c r="G4" s="13" t="inlineStr">
        <is>
          <t>Load balancing</t>
        </is>
      </c>
      <c r="H4" s="13" t="inlineStr">
        <is>
          <t>Arrays &amp; hashing</t>
        </is>
      </c>
      <c r="I4" s="13" t="inlineStr">
        <is>
          <t>Trade memory for time: a HashMap / HashSet turns an O(n^2) scan into O(n).</t>
        </is>
      </c>
      <c r="J4" s="15" t="inlineStr">
        <is>
          <t>Valid Sudoku</t>
        </is>
      </c>
      <c r="K4" s="16" t="inlineStr">
        <is>
          <t>Medium</t>
        </is>
      </c>
      <c r="L4" s="15" t="inlineStr">
        <is>
          <t>Majority Element II</t>
        </is>
      </c>
      <c r="M4" s="16" t="inlineStr">
        <is>
          <t>Medium</t>
        </is>
      </c>
      <c r="N4" s="15" t="inlineStr">
        <is>
          <t>Count of Smaller Numbers After Self</t>
        </is>
      </c>
      <c r="O4" s="17" t="inlineStr">
        <is>
          <t>Hard</t>
        </is>
      </c>
      <c r="P4" s="13" t="inlineStr">
        <is>
          <t>Load balancers: L4 vs L7, round robin, least connections</t>
        </is>
      </c>
      <c r="Q4" s="13" t="inlineStr">
        <is>
          <t>• L4 balances TCP connections; L7 routes by path, header or cookie
• Round robin vs least connections vs IP hash, and when each wins
• Health checks remove bad nodes; the LB itself needs redundancy</t>
        </is>
      </c>
      <c r="R4" s="13" t="inlineStr">
        <is>
          <t>Polymorphism and interfaces: an ILoadBalancingStrategy</t>
        </is>
      </c>
      <c r="S4" s="13" t="inlineStr">
        <is>
          <t>AWS: EC2: launch an instance, security groups, SSH</t>
        </is>
      </c>
      <c r="T4" s="13" t="inlineStr"/>
      <c r="U4" s="15" t="inlineStr">
        <is>
          <t>Big Countries</t>
        </is>
      </c>
      <c r="V4" s="18" t="inlineStr">
        <is>
          <t>Easy</t>
        </is>
      </c>
      <c r="W4" s="15" t="inlineStr">
        <is>
          <t>Random Pick with Weight</t>
        </is>
      </c>
      <c r="X4" s="16" t="inlineStr">
        <is>
          <t>Medium</t>
        </is>
      </c>
    </row>
    <row r="5" ht="48" customHeight="1">
      <c r="A5" s="13" t="n">
        <v>4</v>
      </c>
      <c r="B5" s="14" t="n">
        <v>46296</v>
      </c>
      <c r="C5" s="13" t="inlineStr">
        <is>
          <t>Thu</t>
        </is>
      </c>
      <c r="D5" s="13" t="inlineStr">
        <is>
          <t>Office day</t>
        </is>
      </c>
      <c r="E5" s="13" t="n">
        <v>1</v>
      </c>
      <c r="F5" s="13" t="n">
        <v>1</v>
      </c>
      <c r="G5" s="13" t="inlineStr">
        <is>
          <t>Stateless services</t>
        </is>
      </c>
      <c r="H5" s="13" t="inlineStr">
        <is>
          <t>Two pointers</t>
        </is>
      </c>
      <c r="I5" s="13" t="inlineStr">
        <is>
          <t>Sorted input or a palindrome? Move two indices toward each other instead of nesting loops.</t>
        </is>
      </c>
      <c r="J5" s="15" t="inlineStr">
        <is>
          <t>3Sum</t>
        </is>
      </c>
      <c r="K5" s="16" t="inlineStr">
        <is>
          <t>Medium</t>
        </is>
      </c>
      <c r="L5" s="15" t="inlineStr">
        <is>
          <t>Container With Most Water</t>
        </is>
      </c>
      <c r="M5" s="16" t="inlineStr">
        <is>
          <t>Medium</t>
        </is>
      </c>
      <c r="N5" s="15" t="inlineStr">
        <is>
          <t>Trapping Rain Water</t>
        </is>
      </c>
      <c r="O5" s="17" t="inlineStr">
        <is>
          <t>Hard</t>
        </is>
      </c>
      <c r="P5" s="13" t="inlineStr">
        <is>
          <t>Stateless servers, sticky sessions, session stores</t>
        </is>
      </c>
      <c r="Q5" s="13" t="inlineStr">
        <is>
          <t>• Keep session state out of app servers so any server can take any request
• Sticky sessions are a workaround with uneven load and lost sessions
• Session stores: Redis or a DB with a TTL; JWT moves state to the client</t>
        </is>
      </c>
      <c r="R5" s="13" t="inlineStr">
        <is>
          <t>SOLID part 1: Single Responsibility, Open/Closed</t>
        </is>
      </c>
      <c r="S5" s="13" t="inlineStr">
        <is>
          <t>AWS: ALB + Auto Scaling Group</t>
        </is>
      </c>
      <c r="T5" s="13" t="inlineStr"/>
      <c r="U5" s="15" t="inlineStr">
        <is>
          <t>Combine Two Tables</t>
        </is>
      </c>
      <c r="V5" s="18" t="inlineStr">
        <is>
          <t>Easy</t>
        </is>
      </c>
      <c r="W5" s="15" t="inlineStr">
        <is>
          <t>Design Authentication Manager</t>
        </is>
      </c>
      <c r="X5" s="16" t="inlineStr">
        <is>
          <t>Medium</t>
        </is>
      </c>
    </row>
    <row r="6" ht="90" customHeight="1">
      <c r="A6" s="13" t="n">
        <v>5</v>
      </c>
      <c r="B6" s="14" t="n">
        <v>46297</v>
      </c>
      <c r="C6" s="13" t="inlineStr">
        <is>
          <t>Fri</t>
        </is>
      </c>
      <c r="D6" s="13" t="inlineStr">
        <is>
          <t>Light Friday</t>
        </is>
      </c>
      <c r="E6" s="13" t="n">
        <v>1</v>
      </c>
      <c r="F6" s="13" t="n">
        <v>1</v>
      </c>
      <c r="G6" s="13" t="inlineStr">
        <is>
          <t>APIs</t>
        </is>
      </c>
      <c r="H6" s="13" t="inlineStr">
        <is>
          <t>Two pointers</t>
        </is>
      </c>
      <c r="I6" s="13" t="inlineStr">
        <is>
          <t>Sorted input or a palindrome? Move two indices toward each other instead of nesting loops.</t>
        </is>
      </c>
      <c r="J6" s="15" t="inlineStr">
        <is>
          <t>Two Sum II - Input Array Is Sorted</t>
        </is>
      </c>
      <c r="K6" s="16" t="inlineStr">
        <is>
          <t>Medium</t>
        </is>
      </c>
      <c r="L6" s="15" t="inlineStr">
        <is>
          <t>4Sum</t>
        </is>
      </c>
      <c r="M6" s="16" t="inlineStr">
        <is>
          <t>Medium</t>
        </is>
      </c>
      <c r="N6" s="15" t="inlineStr">
        <is>
          <t>Reverse Pairs</t>
        </is>
      </c>
      <c r="O6" s="17" t="inlineStr">
        <is>
          <t>Hard</t>
        </is>
      </c>
      <c r="P6" s="13" t="inlineStr">
        <is>
          <t>REST API design, status codes, idempotency</t>
        </is>
      </c>
      <c r="Q6" s="13" t="inlineStr">
        <is>
          <t>• Resources as nouns, HTTP verbs as actions, correct status codes (201, 400, 404, 409, 429)
• Idempotency: PUT/DELETE are, POST is not unless you add an idempotency key
• Versioning, pagination and consistent error bodies</t>
        </is>
      </c>
      <c r="R6" s="13" t="inlineStr">
        <is>
          <t>SOLID part 2: Liskov, Interface Segregation, Dependency Inversion</t>
        </is>
      </c>
      <c r="S6" s="13" t="inlineStr">
        <is>
          <t>AWS: S3: buckets, storage classes, static website</t>
        </is>
      </c>
      <c r="T6" s="13" t="inlineStr"/>
      <c r="U6" s="15" t="inlineStr">
        <is>
          <t>Second Highest Salary</t>
        </is>
      </c>
      <c r="V6" s="16" t="inlineStr">
        <is>
          <t>Medium</t>
        </is>
      </c>
      <c r="W6" s="13" t="inlineStr">
        <is>
          <t>Idempotency-key store
Implement IdempotencyStore.Execute(key, Func&lt;Response&gt; handler): the first call runs the handler and stores the response for 24 h; repeat calls with the same key return the stored response without running it again; a call that arrives while the first is still running waits for it (or returns 409). Keep it thread-safe.</t>
        </is>
      </c>
      <c r="X6" s="16" t="inlineStr">
        <is>
          <t>Medium</t>
        </is>
      </c>
    </row>
    <row r="7" ht="90" customHeight="1">
      <c r="A7" s="13" t="n">
        <v>6</v>
      </c>
      <c r="B7" s="14" t="n">
        <v>46298</v>
      </c>
      <c r="C7" s="13" t="inlineStr">
        <is>
          <t>Sat</t>
        </is>
      </c>
      <c r="D7" s="13" t="inlineStr">
        <is>
          <t>Build Saturday</t>
        </is>
      </c>
      <c r="E7" s="13" t="n">
        <v>1</v>
      </c>
      <c r="F7" s="13" t="n">
        <v>1</v>
      </c>
      <c r="G7" s="13" t="inlineStr">
        <is>
          <t>Build: 3-tier app</t>
        </is>
      </c>
      <c r="H7" s="13" t="inlineStr">
        <is>
          <t>Two pointers</t>
        </is>
      </c>
      <c r="I7" s="13" t="inlineStr">
        <is>
          <t>Sorted input or a palindrome? Move two indices toward each other instead of nesting loops.</t>
        </is>
      </c>
      <c r="J7" s="15" t="inlineStr">
        <is>
          <t>Sort Colors</t>
        </is>
      </c>
      <c r="K7" s="16" t="inlineStr">
        <is>
          <t>Medium</t>
        </is>
      </c>
      <c r="L7" s="15" t="inlineStr">
        <is>
          <t>Boats to Save People</t>
        </is>
      </c>
      <c r="M7" s="16" t="inlineStr">
        <is>
          <t>Medium</t>
        </is>
      </c>
      <c r="N7" s="15" t="inlineStr">
        <is>
          <t>Maximum Score of a Good Subarray</t>
        </is>
      </c>
      <c r="O7" s="17" t="inlineStr">
        <is>
          <t>Hard</t>
        </is>
      </c>
      <c r="P7" s="13" t="inlineStr">
        <is>
          <t>Draw a 3-tier app: LB → app servers → DB</t>
        </is>
      </c>
      <c r="Q7" s="13" t="inlineStr">
        <is>
          <t>• Tier 1 LB, tier 2 stateless app servers, tier 3 database
• Where each tier fails and how it recovers
• What changes at 10x traffic</t>
        </is>
      </c>
      <c r="R7" s="13" t="inlineStr">
        <is>
          <t>Refactor a notification sender using SOLID</t>
        </is>
      </c>
      <c r="S7" s="13" t="inlineStr">
        <is>
          <t>AWS: Static site on S3 + EC2 app behind an ALB (terminate after!)</t>
        </is>
      </c>
      <c r="T7" s="13" t="inlineStr"/>
      <c r="U7" s="15" t="inlineStr">
        <is>
          <t>Employees Earning More Than Their Managers</t>
        </is>
      </c>
      <c r="V7" s="18" t="inlineStr">
        <is>
          <t>Easy</t>
        </is>
      </c>
      <c r="W7" s="13" t="inlineStr">
        <is>
          <t>Three-tier Todo API in one process
Build TodoController -&gt; TodoService -&gt; ITodoRepository (in-memory) for create/get/list/complete. Validation lives in the service, storage behind the interface, so swapping the repository for a DB class changes no other layer. Add one unit test per layer.</t>
        </is>
      </c>
      <c r="X7" s="18" t="inlineStr">
        <is>
          <t>Easy</t>
        </is>
      </c>
    </row>
    <row r="8" ht="48" customHeight="1">
      <c r="A8" s="13" t="n">
        <v>7</v>
      </c>
      <c r="B8" s="14" t="n">
        <v>46299</v>
      </c>
      <c r="C8" s="13" t="inlineStr">
        <is>
          <t>Sun</t>
        </is>
      </c>
      <c r="D8" s="13" t="inlineStr">
        <is>
          <t>Review Sunday</t>
        </is>
      </c>
      <c r="E8" s="13" t="n">
        <v>1</v>
      </c>
      <c r="F8" s="13" t="n">
        <v>1</v>
      </c>
      <c r="G8" s="13" t="inlineStr">
        <is>
          <t>Review week 1</t>
        </is>
      </c>
      <c r="H8" s="13" t="inlineStr">
        <is>
          <t>Sliding window</t>
        </is>
      </c>
      <c r="I8" s="13" t="inlineStr">
        <is>
          <t>Grow the right edge, shrink the left while the window breaks the rule; track the best window.</t>
        </is>
      </c>
      <c r="J8" s="15" t="inlineStr">
        <is>
          <t>Longest Substring Without Repeating Characters</t>
        </is>
      </c>
      <c r="K8" s="16" t="inlineStr">
        <is>
          <t>Medium</t>
        </is>
      </c>
      <c r="L8" s="15" t="inlineStr">
        <is>
          <t>Longest Repeating Character Replacement</t>
        </is>
      </c>
      <c r="M8" s="16" t="inlineStr">
        <is>
          <t>Medium</t>
        </is>
      </c>
      <c r="N8" s="15" t="inlineStr">
        <is>
          <t>Minimum Window Substring</t>
        </is>
      </c>
      <c r="O8" s="17" t="inlineStr">
        <is>
          <t>Hard</t>
        </is>
      </c>
      <c r="P8" s="13" t="inlineStr">
        <is>
          <t>Revise week 1 notes on one page</t>
        </is>
      </c>
      <c r="Q8" s="13" t="inlineStr">
        <is>
          <t>• One page: the web request path, scaling, LB, stateless, REST
• Say each concept in two sentences without notes
• List 3 weak spots for next week</t>
        </is>
      </c>
      <c r="R8" s="13" t="inlineStr">
        <is>
          <t>Recap: 4 OOP pillars + SOLID in your own words</t>
        </is>
      </c>
      <c r="S8" s="13" t="inlineStr">
        <is>
          <t>AWS: Delete leftover resources, check billing</t>
        </is>
      </c>
      <c r="T8" s="13" t="inlineStr"/>
      <c r="U8" s="13" t="inlineStr">
        <is>
          <t>Re-solve the SQL you found hardest this week</t>
        </is>
      </c>
      <c r="V8" s="19" t="inlineStr">
        <is>
          <t>Review</t>
        </is>
      </c>
      <c r="W8" s="13" t="inlineStr">
        <is>
          <t>Re-solve one design question from this week</t>
        </is>
      </c>
      <c r="X8" s="19" t="inlineStr">
        <is>
          <t>Review</t>
        </is>
      </c>
    </row>
    <row r="9" ht="48" customHeight="1">
      <c r="A9" s="13" t="n">
        <v>8</v>
      </c>
      <c r="B9" s="14" t="n">
        <v>46300</v>
      </c>
      <c r="C9" s="13" t="inlineStr">
        <is>
          <t>Mon</t>
        </is>
      </c>
      <c r="D9" s="13" t="inlineStr">
        <is>
          <t>Office day</t>
        </is>
      </c>
      <c r="E9" s="13" t="n">
        <v>1</v>
      </c>
      <c r="F9" s="13" t="n">
        <v>2</v>
      </c>
      <c r="G9" s="13" t="inlineStr">
        <is>
          <t>Databases 101</t>
        </is>
      </c>
      <c r="H9" s="13" t="inlineStr">
        <is>
          <t>Sliding window</t>
        </is>
      </c>
      <c r="I9" s="13" t="inlineStr">
        <is>
          <t>Grow the right edge, shrink the left while the window breaks the rule; track the best window.</t>
        </is>
      </c>
      <c r="J9" s="15" t="inlineStr">
        <is>
          <t>Permutation in String</t>
        </is>
      </c>
      <c r="K9" s="16" t="inlineStr">
        <is>
          <t>Medium</t>
        </is>
      </c>
      <c r="L9" s="15" t="inlineStr">
        <is>
          <t>Fruit Into Baskets</t>
        </is>
      </c>
      <c r="M9" s="16" t="inlineStr">
        <is>
          <t>Medium</t>
        </is>
      </c>
      <c r="N9" s="15" t="inlineStr">
        <is>
          <t>Sliding Window Maximum</t>
        </is>
      </c>
      <c r="O9" s="17" t="inlineStr">
        <is>
          <t>Hard</t>
        </is>
      </c>
      <c r="P9" s="13" t="inlineStr">
        <is>
          <t>SQL vs NoSQL and when to pick each</t>
        </is>
      </c>
      <c r="Q9" s="13" t="inlineStr">
        <is>
          <t>• SQL: schema, joins, ACID; NoSQL: flexible schema, horizontal scale
• Pick by access pattern, consistency need and scale
• Key-value, document, wide-column and graph stores, with one example each</t>
        </is>
      </c>
      <c r="R9" s="13" t="inlineStr">
        <is>
          <t>Singleton pattern (thread-safe, for a DB connection)</t>
        </is>
      </c>
      <c r="S9" s="13" t="inlineStr">
        <is>
          <t>AWS: RDS: launch Postgres, connect from your laptop</t>
        </is>
      </c>
      <c r="T9" s="13" t="inlineStr"/>
      <c r="U9" s="15" t="inlineStr">
        <is>
          <t>Duplicate Emails</t>
        </is>
      </c>
      <c r="V9" s="18" t="inlineStr">
        <is>
          <t>Easy</t>
        </is>
      </c>
      <c r="W9" s="15" t="inlineStr">
        <is>
          <t>Design HashSet</t>
        </is>
      </c>
      <c r="X9" s="18" t="inlineStr">
        <is>
          <t>Easy</t>
        </is>
      </c>
    </row>
    <row r="10" ht="48" customHeight="1">
      <c r="A10" s="13" t="n">
        <v>9</v>
      </c>
      <c r="B10" s="14" t="n">
        <v>46301</v>
      </c>
      <c r="C10" s="13" t="inlineStr">
        <is>
          <t>Tue</t>
        </is>
      </c>
      <c r="D10" s="13" t="inlineStr">
        <is>
          <t>Office day</t>
        </is>
      </c>
      <c r="E10" s="13" t="n">
        <v>1</v>
      </c>
      <c r="F10" s="13" t="n">
        <v>2</v>
      </c>
      <c r="G10" s="13" t="inlineStr">
        <is>
          <t>Indexing</t>
        </is>
      </c>
      <c r="H10" s="13" t="inlineStr">
        <is>
          <t>Sliding window</t>
        </is>
      </c>
      <c r="I10" s="13" t="inlineStr">
        <is>
          <t>Grow the right edge, shrink the left while the window breaks the rule; track the best window.</t>
        </is>
      </c>
      <c r="J10" s="15" t="inlineStr">
        <is>
          <t>Max Consecutive Ones III</t>
        </is>
      </c>
      <c r="K10" s="16" t="inlineStr">
        <is>
          <t>Medium</t>
        </is>
      </c>
      <c r="L10" s="15" t="inlineStr">
        <is>
          <t>Minimum Size Subarray Sum</t>
        </is>
      </c>
      <c r="M10" s="16" t="inlineStr">
        <is>
          <t>Medium</t>
        </is>
      </c>
      <c r="N10" s="15" t="inlineStr">
        <is>
          <t>Substring with Concatenation of All Words</t>
        </is>
      </c>
      <c r="O10" s="17" t="inlineStr">
        <is>
          <t>Hard</t>
        </is>
      </c>
      <c r="P10" s="13" t="inlineStr">
        <is>
          <t>Indexes, B-trees, why queries get slow</t>
        </is>
      </c>
      <c r="Q10" s="13" t="inlineStr">
        <is>
          <t>• An index is a sorted structure (B-tree) that trades write speed for read speed
• Composite index column order matters (leftmost prefix)
• Read EXPLAIN plans: full scan vs index seek</t>
        </is>
      </c>
      <c r="R10" s="13" t="inlineStr">
        <is>
          <t>Factory pattern</t>
        </is>
      </c>
      <c r="S10" s="13" t="inlineStr">
        <is>
          <t>AWS: RDS backups, snapshots, Multi-AZ</t>
        </is>
      </c>
      <c r="T10" s="13" t="inlineStr"/>
      <c r="U10" s="15" t="inlineStr">
        <is>
          <t>Customers Who Never Order</t>
        </is>
      </c>
      <c r="V10" s="18" t="inlineStr">
        <is>
          <t>Easy</t>
        </is>
      </c>
      <c r="W10" s="15" t="inlineStr">
        <is>
          <t>Design a Number Container System</t>
        </is>
      </c>
      <c r="X10" s="16" t="inlineStr">
        <is>
          <t>Medium</t>
        </is>
      </c>
    </row>
    <row r="11" ht="48" customHeight="1">
      <c r="A11" s="13" t="n">
        <v>10</v>
      </c>
      <c r="B11" s="14" t="n">
        <v>46302</v>
      </c>
      <c r="C11" s="13" t="inlineStr">
        <is>
          <t>Wed</t>
        </is>
      </c>
      <c r="D11" s="13" t="inlineStr">
        <is>
          <t>Office day</t>
        </is>
      </c>
      <c r="E11" s="13" t="n">
        <v>1</v>
      </c>
      <c r="F11" s="13" t="n">
        <v>2</v>
      </c>
      <c r="G11" s="13" t="inlineStr">
        <is>
          <t>Replication</t>
        </is>
      </c>
      <c r="H11" s="13" t="inlineStr">
        <is>
          <t>Stack</t>
        </is>
      </c>
      <c r="I11" s="13" t="inlineStr">
        <is>
          <t>Anything 'nearest greater/smaller' or matching pairs is a monotonic or plain stack.</t>
        </is>
      </c>
      <c r="J11" s="15" t="inlineStr">
        <is>
          <t>Min Stack</t>
        </is>
      </c>
      <c r="K11" s="16" t="inlineStr">
        <is>
          <t>Medium</t>
        </is>
      </c>
      <c r="L11" s="15" t="inlineStr">
        <is>
          <t>Evaluate Reverse Polish Notation</t>
        </is>
      </c>
      <c r="M11" s="16" t="inlineStr">
        <is>
          <t>Medium</t>
        </is>
      </c>
      <c r="N11" s="15" t="inlineStr">
        <is>
          <t>Basic Calculator</t>
        </is>
      </c>
      <c r="O11" s="17" t="inlineStr">
        <is>
          <t>Hard</t>
        </is>
      </c>
      <c r="P11" s="13" t="inlineStr">
        <is>
          <t>Primary-replica replication, read replicas, lag</t>
        </is>
      </c>
      <c r="Q11" s="13" t="inlineStr">
        <is>
          <t>• Primary takes writes, replicas serve reads
• Async replication means lag: read-your-own-writes issues
• Failover promotes a replica; watch for split brain</t>
        </is>
      </c>
      <c r="R11" s="13" t="inlineStr">
        <is>
          <t>Builder pattern</t>
        </is>
      </c>
      <c r="S11" s="13" t="inlineStr">
        <is>
          <t>AWS: RDS read replicas; DynamoDB intro</t>
        </is>
      </c>
      <c r="T11" s="13" t="inlineStr"/>
      <c r="U11" s="15" t="inlineStr">
        <is>
          <t>Nth Highest Salary</t>
        </is>
      </c>
      <c r="V11" s="16" t="inlineStr">
        <is>
          <t>Medium</t>
        </is>
      </c>
      <c r="W11" s="15" t="inlineStr">
        <is>
          <t>Snapshot Array</t>
        </is>
      </c>
      <c r="X11" s="16" t="inlineStr">
        <is>
          <t>Medium</t>
        </is>
      </c>
    </row>
    <row r="12" ht="90" customHeight="1">
      <c r="A12" s="13" t="n">
        <v>11</v>
      </c>
      <c r="B12" s="14" t="n">
        <v>46303</v>
      </c>
      <c r="C12" s="13" t="inlineStr">
        <is>
          <t>Thu</t>
        </is>
      </c>
      <c r="D12" s="13" t="inlineStr">
        <is>
          <t>Office day</t>
        </is>
      </c>
      <c r="E12" s="13" t="n">
        <v>1</v>
      </c>
      <c r="F12" s="13" t="n">
        <v>2</v>
      </c>
      <c r="G12" s="13" t="inlineStr">
        <is>
          <t>Sharding</t>
        </is>
      </c>
      <c r="H12" s="13" t="inlineStr">
        <is>
          <t>Stack</t>
        </is>
      </c>
      <c r="I12" s="13" t="inlineStr">
        <is>
          <t>Anything 'nearest greater/smaller' or matching pairs is a monotonic or plain stack.</t>
        </is>
      </c>
      <c r="J12" s="15" t="inlineStr">
        <is>
          <t>Daily Temperatures</t>
        </is>
      </c>
      <c r="K12" s="16" t="inlineStr">
        <is>
          <t>Medium</t>
        </is>
      </c>
      <c r="L12" s="15" t="inlineStr">
        <is>
          <t>Car Fleet</t>
        </is>
      </c>
      <c r="M12" s="16" t="inlineStr">
        <is>
          <t>Medium</t>
        </is>
      </c>
      <c r="N12" s="15" t="inlineStr">
        <is>
          <t>Largest Rectangle in Histogram</t>
        </is>
      </c>
      <c r="O12" s="17" t="inlineStr">
        <is>
          <t>Hard</t>
        </is>
      </c>
      <c r="P12" s="13" t="inlineStr">
        <is>
          <t>Partitioning, shard keys, hot spots</t>
        </is>
      </c>
      <c r="Q12" s="13" t="inlineStr">
        <is>
          <t>• Shard by a key that spreads load evenly
• Hot spots come from celebrity keys or time-ordered keys
• Cross-shard queries and rebalancing are the real cost</t>
        </is>
      </c>
      <c r="R12" s="13" t="inlineStr">
        <is>
          <t>Strategy pattern (a shard-key strategy)</t>
        </is>
      </c>
      <c r="S12" s="13" t="inlineStr">
        <is>
          <t>AWS: DynamoDB partition keys and GSIs</t>
        </is>
      </c>
      <c r="T12" s="13" t="inlineStr"/>
      <c r="U12" s="15" t="inlineStr">
        <is>
          <t>Replace Employee ID With The Unique Identifier</t>
        </is>
      </c>
      <c r="V12" s="18" t="inlineStr">
        <is>
          <t>Easy</t>
        </is>
      </c>
      <c r="W12" s="13" t="inlineStr">
        <is>
          <t>Shard router
Implement ShardRouter with Route(key) = hash(key) mod N. Then write MovedKeys(keys, oldN, newN) and show how many of 10,000 keys move when N goes from 4 to 5 - the number you quote when explaining why consistent hashing exists.</t>
        </is>
      </c>
      <c r="X12" s="16" t="inlineStr">
        <is>
          <t>Medium</t>
        </is>
      </c>
    </row>
    <row r="13" ht="48" customHeight="1">
      <c r="A13" s="13" t="n">
        <v>12</v>
      </c>
      <c r="B13" s="14" t="n">
        <v>46304</v>
      </c>
      <c r="C13" s="13" t="inlineStr">
        <is>
          <t>Fri</t>
        </is>
      </c>
      <c r="D13" s="13" t="inlineStr">
        <is>
          <t>Light Friday</t>
        </is>
      </c>
      <c r="E13" s="13" t="n">
        <v>1</v>
      </c>
      <c r="F13" s="13" t="n">
        <v>2</v>
      </c>
      <c r="G13" s="13" t="inlineStr">
        <is>
          <t>Transactions</t>
        </is>
      </c>
      <c r="H13" s="13" t="inlineStr">
        <is>
          <t>Stack</t>
        </is>
      </c>
      <c r="I13" s="13" t="inlineStr">
        <is>
          <t>Anything 'nearest greater/smaller' or matching pairs is a monotonic or plain stack.</t>
        </is>
      </c>
      <c r="J13" s="15" t="inlineStr">
        <is>
          <t>Decode String</t>
        </is>
      </c>
      <c r="K13" s="16" t="inlineStr">
        <is>
          <t>Medium</t>
        </is>
      </c>
      <c r="L13" s="15" t="inlineStr">
        <is>
          <t>Asteroid Collision</t>
        </is>
      </c>
      <c r="M13" s="16" t="inlineStr">
        <is>
          <t>Medium</t>
        </is>
      </c>
      <c r="N13" s="15" t="inlineStr">
        <is>
          <t>Longest Valid Parentheses</t>
        </is>
      </c>
      <c r="O13" s="17" t="inlineStr">
        <is>
          <t>Hard</t>
        </is>
      </c>
      <c r="P13" s="13" t="inlineStr">
        <is>
          <t>ACID and isolation levels</t>
        </is>
      </c>
      <c r="Q13" s="13" t="inlineStr">
        <is>
          <t>• ACID: atomicity, consistency, isolation, durability
• Isolation levels vs anomalies: dirty read, non-repeatable read, phantom
• When to use SERIALIZABLE and what it costs</t>
        </is>
      </c>
      <c r="R13" s="13" t="inlineStr">
        <is>
          <t>Repository pattern in C#</t>
        </is>
      </c>
      <c r="S13" s="13" t="inlineStr">
        <is>
          <t>AWS: IAM roles for EC2 to read S3 without keys</t>
        </is>
      </c>
      <c r="T13" s="13" t="inlineStr"/>
      <c r="U13" s="15" t="inlineStr">
        <is>
          <t>Rank Scores</t>
        </is>
      </c>
      <c r="V13" s="16" t="inlineStr">
        <is>
          <t>Medium</t>
        </is>
      </c>
      <c r="W13" s="15" t="inlineStr">
        <is>
          <t>Design an ATM Machine</t>
        </is>
      </c>
      <c r="X13" s="16" t="inlineStr">
        <is>
          <t>Medium</t>
        </is>
      </c>
    </row>
    <row r="14" ht="48" customHeight="1">
      <c r="A14" s="13" t="n">
        <v>13</v>
      </c>
      <c r="B14" s="14" t="n">
        <v>46305</v>
      </c>
      <c r="C14" s="13" t="inlineStr">
        <is>
          <t>Sat</t>
        </is>
      </c>
      <c r="D14" s="13" t="inlineStr">
        <is>
          <t>Build Saturday</t>
        </is>
      </c>
      <c r="E14" s="13" t="n">
        <v>1</v>
      </c>
      <c r="F14" s="13" t="n">
        <v>2</v>
      </c>
      <c r="G14" s="13" t="inlineStr">
        <is>
          <t>Build: library system</t>
        </is>
      </c>
      <c r="H14" s="13" t="inlineStr">
        <is>
          <t>Stack</t>
        </is>
      </c>
      <c r="I14" s="13" t="inlineStr">
        <is>
          <t>Anything 'nearest greater/smaller' or matching pairs is a monotonic or plain stack.</t>
        </is>
      </c>
      <c r="J14" s="15" t="inlineStr">
        <is>
          <t>Online Stock Span</t>
        </is>
      </c>
      <c r="K14" s="16" t="inlineStr">
        <is>
          <t>Medium</t>
        </is>
      </c>
      <c r="L14" s="15" t="inlineStr">
        <is>
          <t>Remove K Digits</t>
        </is>
      </c>
      <c r="M14" s="16" t="inlineStr">
        <is>
          <t>Medium</t>
        </is>
      </c>
      <c r="N14" s="15" t="inlineStr">
        <is>
          <t>Maximal Rectangle</t>
        </is>
      </c>
      <c r="O14" s="17" t="inlineStr">
        <is>
          <t>Hard</t>
        </is>
      </c>
      <c r="P14" s="13" t="inlineStr">
        <is>
          <t>Design the database for a library system</t>
        </is>
      </c>
      <c r="Q14" s="13" t="inlineStr">
        <is>
          <t>• Tables: Book, Copy, Member, Loan, Reservation
• Keys, indexes and the queries they serve
• One Book has many Copies; a Loan links a Copy to a Member</t>
        </is>
      </c>
      <c r="R14" s="13" t="inlineStr">
        <is>
          <t>Library Management System LLD (classes + relationships)</t>
        </is>
      </c>
      <c r="S14" s="13" t="inlineStr">
        <is>
          <t>AWS: Connect a .NET API on EC2 to RDS</t>
        </is>
      </c>
      <c r="T14" s="13" t="inlineStr"/>
      <c r="U14" s="15" t="inlineStr">
        <is>
          <t>Customer Who Visited but Did Not Make Any Transactions</t>
        </is>
      </c>
      <c r="V14" s="18" t="inlineStr">
        <is>
          <t>Easy</t>
        </is>
      </c>
      <c r="W14" s="15" t="inlineStr">
        <is>
          <t>Seat Reservation Manager</t>
        </is>
      </c>
      <c r="X14" s="16" t="inlineStr">
        <is>
          <t>Medium</t>
        </is>
      </c>
    </row>
    <row r="15" ht="48" customHeight="1">
      <c r="A15" s="13" t="n">
        <v>14</v>
      </c>
      <c r="B15" s="14" t="n">
        <v>46306</v>
      </c>
      <c r="C15" s="13" t="inlineStr">
        <is>
          <t>Sun</t>
        </is>
      </c>
      <c r="D15" s="13" t="inlineStr">
        <is>
          <t>Review Sunday</t>
        </is>
      </c>
      <c r="E15" s="13" t="n">
        <v>1</v>
      </c>
      <c r="F15" s="13" t="n">
        <v>2</v>
      </c>
      <c r="G15" s="13" t="inlineStr">
        <is>
          <t>Review week 2</t>
        </is>
      </c>
      <c r="H15" s="13" t="inlineStr">
        <is>
          <t>Binary search</t>
        </is>
      </c>
      <c r="I15" s="13" t="inlineStr">
        <is>
          <t>Search the answer space, not just arrays: find the first value where a yes/no check flips.</t>
        </is>
      </c>
      <c r="J15" s="15" t="inlineStr">
        <is>
          <t>Search a 2D Matrix</t>
        </is>
      </c>
      <c r="K15" s="16" t="inlineStr">
        <is>
          <t>Medium</t>
        </is>
      </c>
      <c r="L15" s="15" t="inlineStr">
        <is>
          <t>Koko Eating Bananas</t>
        </is>
      </c>
      <c r="M15" s="16" t="inlineStr">
        <is>
          <t>Medium</t>
        </is>
      </c>
      <c r="N15" s="15" t="inlineStr">
        <is>
          <t>Median of Two Sorted Arrays</t>
        </is>
      </c>
      <c r="O15" s="17" t="inlineStr">
        <is>
          <t>Hard</t>
        </is>
      </c>
      <c r="P15" s="13" t="inlineStr">
        <is>
          <t>CAP theorem basics + revise week 2</t>
        </is>
      </c>
      <c r="Q15" s="13" t="inlineStr">
        <is>
          <t>• CAP: during a partition choose consistency or availability
• CP vs AP examples (bank ledger vs shopping cart)
• Revise databases week on one page</t>
        </is>
      </c>
      <c r="R15" s="13" t="inlineStr">
        <is>
          <t>Recap: Singleton, Factory, Builder, Strategy, Repository</t>
        </is>
      </c>
      <c r="S15" s="13" t="inlineStr">
        <is>
          <t>AWS: Clean up; draw your AWS setup so far</t>
        </is>
      </c>
      <c r="T15" s="13" t="inlineStr"/>
      <c r="U15" s="13" t="inlineStr">
        <is>
          <t>Re-solve the SQL you found hardest this week</t>
        </is>
      </c>
      <c r="V15" s="19" t="inlineStr">
        <is>
          <t>Review</t>
        </is>
      </c>
      <c r="W15" s="13" t="inlineStr">
        <is>
          <t>Re-solve one design question from this week</t>
        </is>
      </c>
      <c r="X15" s="19" t="inlineStr">
        <is>
          <t>Review</t>
        </is>
      </c>
    </row>
    <row r="16" ht="48" customHeight="1">
      <c r="A16" s="13" t="n">
        <v>15</v>
      </c>
      <c r="B16" s="14" t="n">
        <v>46307</v>
      </c>
      <c r="C16" s="13" t="inlineStr">
        <is>
          <t>Mon</t>
        </is>
      </c>
      <c r="D16" s="13" t="inlineStr">
        <is>
          <t>Office day</t>
        </is>
      </c>
      <c r="E16" s="13" t="n">
        <v>1</v>
      </c>
      <c r="F16" s="13" t="n">
        <v>3</v>
      </c>
      <c r="G16" s="13" t="inlineStr">
        <is>
          <t>Caching</t>
        </is>
      </c>
      <c r="H16" s="13" t="inlineStr">
        <is>
          <t>Linked list</t>
        </is>
      </c>
      <c r="I16" s="13" t="inlineStr">
        <is>
          <t>Draw it. Dummy head for edits, slow/fast pointers for middle and cycles, reverse in place.</t>
        </is>
      </c>
      <c r="J16" s="15" t="inlineStr">
        <is>
          <t>LRU Cache</t>
        </is>
      </c>
      <c r="K16" s="16" t="inlineStr">
        <is>
          <t>Medium</t>
        </is>
      </c>
      <c r="L16" s="15" t="inlineStr">
        <is>
          <t>Reorder List</t>
        </is>
      </c>
      <c r="M16" s="16" t="inlineStr">
        <is>
          <t>Medium</t>
        </is>
      </c>
      <c r="N16" s="15" t="inlineStr">
        <is>
          <t>Reverse Nodes in k-Group</t>
        </is>
      </c>
      <c r="O16" s="17" t="inlineStr">
        <is>
          <t>Hard</t>
        </is>
      </c>
      <c r="P16" s="13" t="inlineStr">
        <is>
          <t>Caching basics: where to cache, hit/miss</t>
        </is>
      </c>
      <c r="Q16" s="13" t="inlineStr">
        <is>
          <t>• Cache what is read often and changes rarely
• Hit ratio, latency win and staleness risk
• Layers: browser, CDN, app memory, Redis, DB buffer pool</t>
        </is>
      </c>
      <c r="R16" s="13" t="inlineStr">
        <is>
          <t>LRU cache design: HashMap + doubly linked list</t>
        </is>
      </c>
      <c r="S16" s="13" t="inlineStr">
        <is>
          <t>AWS: ElastiCache (Redis) intro</t>
        </is>
      </c>
      <c r="T16" s="13" t="inlineStr"/>
      <c r="U16" s="15" t="inlineStr">
        <is>
          <t>Rising Temperature</t>
        </is>
      </c>
      <c r="V16" s="18" t="inlineStr">
        <is>
          <t>Easy</t>
        </is>
      </c>
      <c r="W16" s="15" t="inlineStr">
        <is>
          <t>LRU Cache</t>
        </is>
      </c>
      <c r="X16" s="16" t="inlineStr">
        <is>
          <t>Medium</t>
        </is>
      </c>
    </row>
    <row r="17" ht="48" customHeight="1">
      <c r="A17" s="13" t="n">
        <v>16</v>
      </c>
      <c r="B17" s="14" t="n">
        <v>46308</v>
      </c>
      <c r="C17" s="13" t="inlineStr">
        <is>
          <t>Tue</t>
        </is>
      </c>
      <c r="D17" s="13" t="inlineStr">
        <is>
          <t>Office day</t>
        </is>
      </c>
      <c r="E17" s="13" t="n">
        <v>1</v>
      </c>
      <c r="F17" s="13" t="n">
        <v>3</v>
      </c>
      <c r="G17" s="13" t="inlineStr">
        <is>
          <t>Cache strategies</t>
        </is>
      </c>
      <c r="H17" s="13" t="inlineStr">
        <is>
          <t>Linked list</t>
        </is>
      </c>
      <c r="I17" s="13" t="inlineStr">
        <is>
          <t>Draw it. Dummy head for edits, slow/fast pointers for middle and cycles, reverse in place.</t>
        </is>
      </c>
      <c r="J17" s="15" t="inlineStr">
        <is>
          <t>Remove Nth Node From End of List</t>
        </is>
      </c>
      <c r="K17" s="16" t="inlineStr">
        <is>
          <t>Medium</t>
        </is>
      </c>
      <c r="L17" s="15" t="inlineStr">
        <is>
          <t>Copy List with Random Pointer</t>
        </is>
      </c>
      <c r="M17" s="16" t="inlineStr">
        <is>
          <t>Medium</t>
        </is>
      </c>
      <c r="N17" s="15" t="inlineStr">
        <is>
          <t>Merge k Sorted Lists</t>
        </is>
      </c>
      <c r="O17" s="17" t="inlineStr">
        <is>
          <t>Hard</t>
        </is>
      </c>
      <c r="P17" s="13" t="inlineStr">
        <is>
          <t>Cache-aside, write-through, write-back, TTL, eviction</t>
        </is>
      </c>
      <c r="Q17" s="13" t="inlineStr">
        <is>
          <t>• Cache-aside, write-through, write-back and when each loses data
• TTLs and eviction (LRU / LFU)
• Stampede protection: locks, jitter, early refresh</t>
        </is>
      </c>
      <c r="R17" s="13" t="inlineStr">
        <is>
          <t>Decorator pattern: a caching repository</t>
        </is>
      </c>
      <c r="S17" s="13" t="inlineStr">
        <is>
          <t>AWS: Use Redis from a .NET API</t>
        </is>
      </c>
      <c r="T17" s="13" t="inlineStr"/>
      <c r="U17" s="15" t="inlineStr">
        <is>
          <t>Department Highest Salary</t>
        </is>
      </c>
      <c r="V17" s="16" t="inlineStr">
        <is>
          <t>Medium</t>
        </is>
      </c>
      <c r="W17" s="15" t="inlineStr">
        <is>
          <t>Time Based Key-Value Store</t>
        </is>
      </c>
      <c r="X17" s="16" t="inlineStr">
        <is>
          <t>Medium</t>
        </is>
      </c>
    </row>
    <row r="18" ht="90" customHeight="1">
      <c r="A18" s="13" t="n">
        <v>17</v>
      </c>
      <c r="B18" s="14" t="n">
        <v>46309</v>
      </c>
      <c r="C18" s="13" t="inlineStr">
        <is>
          <t>Wed</t>
        </is>
      </c>
      <c r="D18" s="13" t="inlineStr">
        <is>
          <t>Office day</t>
        </is>
      </c>
      <c r="E18" s="13" t="n">
        <v>1</v>
      </c>
      <c r="F18" s="13" t="n">
        <v>3</v>
      </c>
      <c r="G18" s="13" t="inlineStr">
        <is>
          <t>CDN</t>
        </is>
      </c>
      <c r="H18" s="13" t="inlineStr">
        <is>
          <t>Linked list</t>
        </is>
      </c>
      <c r="I18" s="13" t="inlineStr">
        <is>
          <t>Draw it. Dummy head for edits, slow/fast pointers for middle and cycles, reverse in place.</t>
        </is>
      </c>
      <c r="J18" s="15" t="inlineStr">
        <is>
          <t>Add Two Numbers</t>
        </is>
      </c>
      <c r="K18" s="16" t="inlineStr">
        <is>
          <t>Medium</t>
        </is>
      </c>
      <c r="L18" s="15" t="inlineStr">
        <is>
          <t>Find the Duplicate Number</t>
        </is>
      </c>
      <c r="M18" s="16" t="inlineStr">
        <is>
          <t>Medium</t>
        </is>
      </c>
      <c r="N18" s="15" t="inlineStr">
        <is>
          <t>LFU Cache</t>
        </is>
      </c>
      <c r="O18" s="17" t="inlineStr">
        <is>
          <t>Hard</t>
        </is>
      </c>
      <c r="P18" s="13" t="inlineStr">
        <is>
          <t>CDNs and edge caching</t>
        </is>
      </c>
      <c r="Q18" s="13" t="inlineStr">
        <is>
          <t>• CDNs serve static content from edge locations near users
• Cache keys, TTL and invalidation at the edge
• Push vs pull CDN</t>
        </is>
      </c>
      <c r="R18" s="13" t="inlineStr">
        <is>
          <t>Proxy pattern</t>
        </is>
      </c>
      <c r="S18" s="13" t="inlineStr">
        <is>
          <t>AWS: CloudFront in front of S3</t>
        </is>
      </c>
      <c r="T18" s="13" t="inlineStr"/>
      <c r="U18" s="15" t="inlineStr">
        <is>
          <t>Average Time of Process per Machine</t>
        </is>
      </c>
      <c r="V18" s="18" t="inlineStr">
        <is>
          <t>Easy</t>
        </is>
      </c>
      <c r="W18" s="13" t="inlineStr">
        <is>
          <t>Edge cache with TTL and prefix purge
Implement EdgeCache: Get(path), Put(path, body, ttlSeconds) and Purge(prefix) that drops every path starting with the prefix (e.g. /images/). Expired entries are never returned. Use a clock you can fake in tests.</t>
        </is>
      </c>
      <c r="X18" s="18" t="inlineStr">
        <is>
          <t>Easy</t>
        </is>
      </c>
    </row>
    <row r="19" ht="48" customHeight="1">
      <c r="A19" s="13" t="n">
        <v>18</v>
      </c>
      <c r="B19" s="14" t="n">
        <v>46310</v>
      </c>
      <c r="C19" s="13" t="inlineStr">
        <is>
          <t>Thu</t>
        </is>
      </c>
      <c r="D19" s="13" t="inlineStr">
        <is>
          <t>Office day</t>
        </is>
      </c>
      <c r="E19" s="13" t="n">
        <v>1</v>
      </c>
      <c r="F19" s="13" t="n">
        <v>3</v>
      </c>
      <c r="G19" s="13" t="inlineStr">
        <is>
          <t>Consistency</t>
        </is>
      </c>
      <c r="H19" s="13" t="inlineStr">
        <is>
          <t>Binary search</t>
        </is>
      </c>
      <c r="I19" s="13" t="inlineStr">
        <is>
          <t>Search the answer space, not just arrays: find the first value where a yes/no check flips.</t>
        </is>
      </c>
      <c r="J19" s="15" t="inlineStr">
        <is>
          <t>Search in Rotated Sorted Array</t>
        </is>
      </c>
      <c r="K19" s="16" t="inlineStr">
        <is>
          <t>Medium</t>
        </is>
      </c>
      <c r="L19" s="15" t="inlineStr">
        <is>
          <t>Find Minimum in Rotated Sorted Array</t>
        </is>
      </c>
      <c r="M19" s="16" t="inlineStr">
        <is>
          <t>Medium</t>
        </is>
      </c>
      <c r="N19" s="15" t="inlineStr">
        <is>
          <t>Find Minimum in Rotated Sorted Array II</t>
        </is>
      </c>
      <c r="O19" s="17" t="inlineStr">
        <is>
          <t>Hard</t>
        </is>
      </c>
      <c r="P19" s="13" t="inlineStr">
        <is>
          <t>Strong vs eventual consistency, cache invalidation</t>
        </is>
      </c>
      <c r="Q19" s="13" t="inlineStr">
        <is>
          <t>• Strong consistency: every read sees the latest write
• Eventual consistency: replicas converge later
• Cache invalidation on update: delete vs update the key</t>
        </is>
      </c>
      <c r="R19" s="13" t="inlineStr">
        <is>
          <t>Observer pattern (invalidate on update)</t>
        </is>
      </c>
      <c r="S19" s="13" t="inlineStr">
        <is>
          <t>AWS: Route 53 and routing policies</t>
        </is>
      </c>
      <c r="T19" s="13" t="inlineStr"/>
      <c r="U19" s="15" t="inlineStr">
        <is>
          <t>Employee Bonus</t>
        </is>
      </c>
      <c r="V19" s="18" t="inlineStr">
        <is>
          <t>Easy</t>
        </is>
      </c>
      <c r="W19" s="15" t="inlineStr">
        <is>
          <t>Stock Price Fluctuation</t>
        </is>
      </c>
      <c r="X19" s="16" t="inlineStr">
        <is>
          <t>Medium</t>
        </is>
      </c>
    </row>
    <row r="20" ht="48" customHeight="1">
      <c r="A20" s="13" t="n">
        <v>19</v>
      </c>
      <c r="B20" s="14" t="n">
        <v>46311</v>
      </c>
      <c r="C20" s="13" t="inlineStr">
        <is>
          <t>Fri</t>
        </is>
      </c>
      <c r="D20" s="13" t="inlineStr">
        <is>
          <t>Light Friday</t>
        </is>
      </c>
      <c r="E20" s="13" t="n">
        <v>1</v>
      </c>
      <c r="F20" s="13" t="n">
        <v>3</v>
      </c>
      <c r="G20" s="13" t="inlineStr">
        <is>
          <t>Rate limiting</t>
        </is>
      </c>
      <c r="H20" s="13" t="inlineStr">
        <is>
          <t>Binary search</t>
        </is>
      </c>
      <c r="I20" s="13" t="inlineStr">
        <is>
          <t>Search the answer space, not just arrays: find the first value where a yes/no check flips.</t>
        </is>
      </c>
      <c r="J20" s="15" t="inlineStr">
        <is>
          <t>Time Based Key-Value Store</t>
        </is>
      </c>
      <c r="K20" s="16" t="inlineStr">
        <is>
          <t>Medium</t>
        </is>
      </c>
      <c r="L20" s="15" t="inlineStr">
        <is>
          <t>Find First and Last Position of Element in Sorted Array</t>
        </is>
      </c>
      <c r="M20" s="16" t="inlineStr">
        <is>
          <t>Medium</t>
        </is>
      </c>
      <c r="N20" s="15" t="inlineStr">
        <is>
          <t>Split Array Largest Sum</t>
        </is>
      </c>
      <c r="O20" s="17" t="inlineStr">
        <is>
          <t>Hard</t>
        </is>
      </c>
      <c r="P20" s="13" t="inlineStr">
        <is>
          <t>Token bucket, leaky bucket, sliding window</t>
        </is>
      </c>
      <c r="Q20" s="13" t="inlineStr">
        <is>
          <t>• Token bucket allows bursts; leaky bucket smooths output
• Fixed window vs sliding window log vs sliding window counter
• Where to enforce: gateway, service, per user or per IP</t>
        </is>
      </c>
      <c r="R20" s="13" t="inlineStr">
        <is>
          <t>Design a RateLimiter class</t>
        </is>
      </c>
      <c r="S20" s="13" t="inlineStr">
        <is>
          <t>AWS: API Gateway throttling overview</t>
        </is>
      </c>
      <c r="T20" s="13" t="inlineStr"/>
      <c r="U20" s="15" t="inlineStr">
        <is>
          <t>Consecutive Numbers</t>
        </is>
      </c>
      <c r="V20" s="16" t="inlineStr">
        <is>
          <t>Medium</t>
        </is>
      </c>
      <c r="W20" s="15" t="inlineStr">
        <is>
          <t>Number of Recent Calls</t>
        </is>
      </c>
      <c r="X20" s="18" t="inlineStr">
        <is>
          <t>Easy</t>
        </is>
      </c>
    </row>
    <row r="21" ht="48" customHeight="1">
      <c r="A21" s="13" t="n">
        <v>20</v>
      </c>
      <c r="B21" s="14" t="n">
        <v>46312</v>
      </c>
      <c r="C21" s="13" t="inlineStr">
        <is>
          <t>Sat</t>
        </is>
      </c>
      <c r="D21" s="13" t="inlineStr">
        <is>
          <t>Build Saturday</t>
        </is>
      </c>
      <c r="E21" s="13" t="n">
        <v>1</v>
      </c>
      <c r="F21" s="13" t="n">
        <v>3</v>
      </c>
      <c r="G21" s="13" t="inlineStr">
        <is>
          <t>Build: rate limiter</t>
        </is>
      </c>
      <c r="H21" s="13" t="inlineStr">
        <is>
          <t>Linked list</t>
        </is>
      </c>
      <c r="I21" s="13" t="inlineStr">
        <is>
          <t>Draw it. Dummy head for edits, slow/fast pointers for middle and cycles, reverse in place.</t>
        </is>
      </c>
      <c r="J21" s="15" t="inlineStr">
        <is>
          <t>Rotate List</t>
        </is>
      </c>
      <c r="K21" s="16" t="inlineStr">
        <is>
          <t>Medium</t>
        </is>
      </c>
      <c r="L21" s="15" t="inlineStr">
        <is>
          <t>Sort List</t>
        </is>
      </c>
      <c r="M21" s="16" t="inlineStr">
        <is>
          <t>Medium</t>
        </is>
      </c>
      <c r="N21" s="15" t="inlineStr">
        <is>
          <t>Design Skiplist</t>
        </is>
      </c>
      <c r="O21" s="17" t="inlineStr">
        <is>
          <t>Hard</t>
        </is>
      </c>
      <c r="P21" s="13" t="inlineStr">
        <is>
          <t>Design a rate limiter end to end</t>
        </is>
      </c>
      <c r="Q21" s="13" t="inlineStr">
        <is>
          <t>• Requirements: per-user limits, low latency, distributed
• Redis counters with expiry, atomic Lua scripts
• Return 429 with a Retry-After header</t>
        </is>
      </c>
      <c r="R21" s="13" t="inlineStr">
        <is>
          <t>Implement token bucket in C# with unit tests</t>
        </is>
      </c>
      <c r="S21" s="13" t="inlineStr">
        <is>
          <t>AWS: CloudFront + S3 + Route 53 together</t>
        </is>
      </c>
      <c r="T21" s="13" t="inlineStr"/>
      <c r="U21" s="15" t="inlineStr">
        <is>
          <t>Students and Examinations</t>
        </is>
      </c>
      <c r="V21" s="18" t="inlineStr">
        <is>
          <t>Easy</t>
        </is>
      </c>
      <c r="W21" s="15" t="inlineStr">
        <is>
          <t>Tweet Counts Per Frequency</t>
        </is>
      </c>
      <c r="X21" s="16" t="inlineStr">
        <is>
          <t>Medium</t>
        </is>
      </c>
    </row>
    <row r="22" ht="48" customHeight="1">
      <c r="A22" s="13" t="n">
        <v>21</v>
      </c>
      <c r="B22" s="14" t="n">
        <v>46313</v>
      </c>
      <c r="C22" s="13" t="inlineStr">
        <is>
          <t>Sun</t>
        </is>
      </c>
      <c r="D22" s="13" t="inlineStr">
        <is>
          <t>Review Sunday</t>
        </is>
      </c>
      <c r="E22" s="13" t="n">
        <v>1</v>
      </c>
      <c r="F22" s="13" t="n">
        <v>3</v>
      </c>
      <c r="G22" s="13" t="inlineStr">
        <is>
          <t>Review week 3</t>
        </is>
      </c>
      <c r="H22" s="13" t="inlineStr">
        <is>
          <t>Linked list</t>
        </is>
      </c>
      <c r="I22" s="13" t="inlineStr">
        <is>
          <t>Draw it. Dummy head for edits, slow/fast pointers for middle and cycles, reverse in place.</t>
        </is>
      </c>
      <c r="J22" s="15" t="inlineStr">
        <is>
          <t>Reverse Linked List II</t>
        </is>
      </c>
      <c r="K22" s="16" t="inlineStr">
        <is>
          <t>Medium</t>
        </is>
      </c>
      <c r="L22" s="15" t="inlineStr">
        <is>
          <t>Swap Nodes in Pairs</t>
        </is>
      </c>
      <c r="M22" s="16" t="inlineStr">
        <is>
          <t>Medium</t>
        </is>
      </c>
      <c r="N22" s="15" t="inlineStr">
        <is>
          <t>All O`one Data Structure</t>
        </is>
      </c>
      <c r="O22" s="17" t="inlineStr">
        <is>
          <t>Hard</t>
        </is>
      </c>
      <c r="P22" s="13" t="inlineStr">
        <is>
          <t>Revise caching, CDN, consistency</t>
        </is>
      </c>
      <c r="Q22" s="13" t="inlineStr">
        <is>
          <t>• Revise caching, CDN and consistency on one page
• Explain cache invalidation out loud
• List weak spots</t>
        </is>
      </c>
      <c r="R22" s="13" t="inlineStr">
        <is>
          <t>Recap: LRU, Decorator, Proxy, Observer</t>
        </is>
      </c>
      <c r="S22" s="13" t="inlineStr">
        <is>
          <t>AWS: Clean up, check billing</t>
        </is>
      </c>
      <c r="T22" s="13" t="inlineStr"/>
      <c r="U22" s="13" t="inlineStr">
        <is>
          <t>Re-solve the SQL you found hardest this week</t>
        </is>
      </c>
      <c r="V22" s="19" t="inlineStr">
        <is>
          <t>Review</t>
        </is>
      </c>
      <c r="W22" s="13" t="inlineStr">
        <is>
          <t>Re-solve one design question from this week</t>
        </is>
      </c>
      <c r="X22" s="19" t="inlineStr">
        <is>
          <t>Review</t>
        </is>
      </c>
    </row>
    <row r="23" ht="48" customHeight="1">
      <c r="A23" s="13" t="n">
        <v>22</v>
      </c>
      <c r="B23" s="14" t="n">
        <v>46314</v>
      </c>
      <c r="C23" s="13" t="inlineStr">
        <is>
          <t>Mon</t>
        </is>
      </c>
      <c r="D23" s="13" t="inlineStr">
        <is>
          <t>Office day</t>
        </is>
      </c>
      <c r="E23" s="13" t="n">
        <v>1</v>
      </c>
      <c r="F23" s="13" t="n">
        <v>4</v>
      </c>
      <c r="G23" s="13" t="inlineStr">
        <is>
          <t>Async processing</t>
        </is>
      </c>
      <c r="H23" s="13" t="inlineStr">
        <is>
          <t>Prefix sum</t>
        </is>
      </c>
      <c r="I23" s="13" t="inlineStr">
        <is>
          <t>sum(i..j) = prefix[j+1] - prefix[i]; a HashMap of prefix counts finds subarrays with target sums.</t>
        </is>
      </c>
      <c r="J23" s="15" t="inlineStr">
        <is>
          <t>Subarray Sum Equals K</t>
        </is>
      </c>
      <c r="K23" s="16" t="inlineStr">
        <is>
          <t>Medium</t>
        </is>
      </c>
      <c r="L23" s="15" t="inlineStr">
        <is>
          <t>Contiguous Array</t>
        </is>
      </c>
      <c r="M23" s="16" t="inlineStr">
        <is>
          <t>Medium</t>
        </is>
      </c>
      <c r="N23" s="15" t="inlineStr">
        <is>
          <t>Shortest Subarray with Sum at Least K</t>
        </is>
      </c>
      <c r="O23" s="17" t="inlineStr">
        <is>
          <t>Hard</t>
        </is>
      </c>
      <c r="P23" s="13" t="inlineStr">
        <is>
          <t>Message queues, producers and consumers</t>
        </is>
      </c>
      <c r="Q23" s="13" t="inlineStr">
        <is>
          <t>• Queues decouple producers from consumers and absorb spikes
• Consumers scale independently; backpressure
• Ordering vs throughput trade-off</t>
        </is>
      </c>
      <c r="R23" s="13" t="inlineStr">
        <is>
          <t>Producer–consumer in C# with Channels</t>
        </is>
      </c>
      <c r="S23" s="13" t="inlineStr">
        <is>
          <t>AWS: SQS standard vs FIFO</t>
        </is>
      </c>
      <c r="T23" s="13" t="inlineStr"/>
      <c r="U23" s="15" t="inlineStr">
        <is>
          <t>Managers with at Least 5 Direct Reports</t>
        </is>
      </c>
      <c r="V23" s="16" t="inlineStr">
        <is>
          <t>Medium</t>
        </is>
      </c>
      <c r="W23" s="15" t="inlineStr">
        <is>
          <t>Design Circular Queue</t>
        </is>
      </c>
      <c r="X23" s="16" t="inlineStr">
        <is>
          <t>Medium</t>
        </is>
      </c>
    </row>
    <row r="24" ht="48" customHeight="1">
      <c r="A24" s="13" t="n">
        <v>23</v>
      </c>
      <c r="B24" s="14" t="n">
        <v>46315</v>
      </c>
      <c r="C24" s="13" t="inlineStr">
        <is>
          <t>Tue</t>
        </is>
      </c>
      <c r="D24" s="13" t="inlineStr">
        <is>
          <t>Office day</t>
        </is>
      </c>
      <c r="E24" s="13" t="n">
        <v>1</v>
      </c>
      <c r="F24" s="13" t="n">
        <v>4</v>
      </c>
      <c r="G24" s="13" t="inlineStr">
        <is>
          <t>Pub/sub</t>
        </is>
      </c>
      <c r="H24" s="13" t="inlineStr">
        <is>
          <t>Prefix sum</t>
        </is>
      </c>
      <c r="I24" s="13" t="inlineStr">
        <is>
          <t>sum(i..j) = prefix[j+1] - prefix[i]; a HashMap of prefix counts finds subarrays with target sums.</t>
        </is>
      </c>
      <c r="J24" s="15" t="inlineStr">
        <is>
          <t>Subarray Sums Divisible by K</t>
        </is>
      </c>
      <c r="K24" s="16" t="inlineStr">
        <is>
          <t>Medium</t>
        </is>
      </c>
      <c r="L24" s="15" t="inlineStr">
        <is>
          <t>Continuous Subarray Sum</t>
        </is>
      </c>
      <c r="M24" s="16" t="inlineStr">
        <is>
          <t>Medium</t>
        </is>
      </c>
      <c r="N24" s="15" t="inlineStr">
        <is>
          <t>Number of Submatrices That Sum to Target</t>
        </is>
      </c>
      <c r="O24" s="17" t="inlineStr">
        <is>
          <t>Hard</t>
        </is>
      </c>
      <c r="P24" s="13" t="inlineStr">
        <is>
          <t>Pub/sub vs queues, fan-out</t>
        </is>
      </c>
      <c r="Q24" s="13" t="inlineStr">
        <is>
          <t>• Queue = one consumer gets each message; pub/sub = every subscriber gets it
• Fan-out: one event feeds many services
• Topics, subscriptions and filters</t>
        </is>
      </c>
      <c r="R24" s="13" t="inlineStr">
        <is>
          <t>Build an in-memory event bus in C#</t>
        </is>
      </c>
      <c r="S24" s="13" t="inlineStr">
        <is>
          <t>AWS: SNS + SNS→SQS fan-out</t>
        </is>
      </c>
      <c r="T24" s="13" t="inlineStr"/>
      <c r="U24" s="15" t="inlineStr">
        <is>
          <t>Confirmation Rate</t>
        </is>
      </c>
      <c r="V24" s="16" t="inlineStr">
        <is>
          <t>Medium</t>
        </is>
      </c>
      <c r="W24" s="15" t="inlineStr">
        <is>
          <t>Design Twitter</t>
        </is>
      </c>
      <c r="X24" s="16" t="inlineStr">
        <is>
          <t>Medium</t>
        </is>
      </c>
    </row>
    <row r="25" ht="90" customHeight="1">
      <c r="A25" s="13" t="n">
        <v>24</v>
      </c>
      <c r="B25" s="14" t="n">
        <v>46316</v>
      </c>
      <c r="C25" s="13" t="inlineStr">
        <is>
          <t>Wed</t>
        </is>
      </c>
      <c r="D25" s="13" t="inlineStr">
        <is>
          <t>Office day</t>
        </is>
      </c>
      <c r="E25" s="13" t="n">
        <v>1</v>
      </c>
      <c r="F25" s="13" t="n">
        <v>4</v>
      </c>
      <c r="G25" s="13" t="inlineStr">
        <is>
          <t>Delivery guarantees</t>
        </is>
      </c>
      <c r="H25" s="13" t="inlineStr">
        <is>
          <t>Binary search</t>
        </is>
      </c>
      <c r="I25" s="13" t="inlineStr">
        <is>
          <t>Search the answer space, not just arrays: find the first value where a yes/no check flips.</t>
        </is>
      </c>
      <c r="J25" s="15" t="inlineStr">
        <is>
          <t>Capacity To Ship Packages Within D Days</t>
        </is>
      </c>
      <c r="K25" s="16" t="inlineStr">
        <is>
          <t>Medium</t>
        </is>
      </c>
      <c r="L25" s="15" t="inlineStr">
        <is>
          <t>Find Peak Element</t>
        </is>
      </c>
      <c r="M25" s="16" t="inlineStr">
        <is>
          <t>Medium</t>
        </is>
      </c>
      <c r="N25" s="15" t="inlineStr">
        <is>
          <t>Find K-th Smallest Pair Distance</t>
        </is>
      </c>
      <c r="O25" s="17" t="inlineStr">
        <is>
          <t>Hard</t>
        </is>
      </c>
      <c r="P25" s="13" t="inlineStr">
        <is>
          <t>At-least-once, exactly-once, idempotency, dead-letter queues</t>
        </is>
      </c>
      <c r="Q25" s="13" t="inlineStr">
        <is>
          <t>• At-least-once delivery means duplicates: make consumers idempotent
• Exactly-once is expensive; dedupe keys are usually enough
• Dead-letter queues catch poison messages; visibility timeout controls retries</t>
        </is>
      </c>
      <c r="R25" s="13" t="inlineStr">
        <is>
          <t>Command pattern for retryable jobs</t>
        </is>
      </c>
      <c r="S25" s="13" t="inlineStr">
        <is>
          <t>AWS: SQS dead-letter queue, visibility timeout</t>
        </is>
      </c>
      <c r="T25" s="13" t="inlineStr"/>
      <c r="U25" s="15" t="inlineStr">
        <is>
          <t>Not Boring Movies</t>
        </is>
      </c>
      <c r="V25" s="18" t="inlineStr">
        <is>
          <t>Easy</t>
        </is>
      </c>
      <c r="W25" s="13" t="inlineStr">
        <is>
          <t>Idempotent message consumer
Implement Consumer.Handle(Message m) for at-least-once delivery: skip messages whose Id was processed in the last 10 minutes, retry a failing handler up to 3 times with backoff, then move the message to a dead-letter list.</t>
        </is>
      </c>
      <c r="X25" s="16" t="inlineStr">
        <is>
          <t>Medium</t>
        </is>
      </c>
    </row>
    <row r="26" ht="90" customHeight="1">
      <c r="A26" s="13" t="n">
        <v>25</v>
      </c>
      <c r="B26" s="14" t="n">
        <v>46317</v>
      </c>
      <c r="C26" s="13" t="inlineStr">
        <is>
          <t>Thu</t>
        </is>
      </c>
      <c r="D26" s="13" t="inlineStr">
        <is>
          <t>Office day</t>
        </is>
      </c>
      <c r="E26" s="13" t="n">
        <v>1</v>
      </c>
      <c r="F26" s="13" t="n">
        <v>4</v>
      </c>
      <c r="G26" s="13" t="inlineStr">
        <is>
          <t>Phase 1 checkpoint</t>
        </is>
      </c>
      <c r="H26" s="13" t="inlineStr">
        <is>
          <t>Arrays &amp; matrix</t>
        </is>
      </c>
      <c r="I26" s="13" t="inlineStr">
        <is>
          <t>In-place tricks: reverse segments, swap by index, use the first row/column as markers.</t>
        </is>
      </c>
      <c r="J26" s="15" t="inlineStr">
        <is>
          <t>Rotate Image</t>
        </is>
      </c>
      <c r="K26" s="16" t="inlineStr">
        <is>
          <t>Medium</t>
        </is>
      </c>
      <c r="L26" s="15" t="inlineStr">
        <is>
          <t>Spiral Matrix</t>
        </is>
      </c>
      <c r="M26" s="16" t="inlineStr">
        <is>
          <t>Medium</t>
        </is>
      </c>
      <c r="N26" s="15" t="inlineStr">
        <is>
          <t>Count of Range Sum</t>
        </is>
      </c>
      <c r="O26" s="17" t="inlineStr">
        <is>
          <t>Hard</t>
        </is>
      </c>
      <c r="P26" s="13" t="inlineStr">
        <is>
          <t>Design a basic notification system</t>
        </is>
      </c>
      <c r="Q26" s="13" t="inlineStr">
        <is>
          <t>• Channels (email, SMS, push) behind one interface
• Queue per channel, retries with backoff, user preferences
• Checkpoint: explain it in 10 minutes</t>
        </is>
      </c>
      <c r="R26" s="13" t="inlineStr">
        <is>
          <t>Notification service LLD: Strategy for channels + Observer</t>
        </is>
      </c>
      <c r="S26" s="13" t="inlineStr">
        <is>
          <t>AWS: AWS Cloud Practitioner practice test</t>
        </is>
      </c>
      <c r="T26" s="13" t="inlineStr">
        <is>
          <t>• Solve 3 new mediums from Phase 1 patterns in 90 minutes
• Explain a 3-tier app, caching and queues in 10 minutes without notes
• Code a SOLID notification sender in C# with tests
• AWS Cloud Practitioner practice test: 70%+</t>
        </is>
      </c>
      <c r="U26" s="15" t="inlineStr">
        <is>
          <t>Average Selling Price</t>
        </is>
      </c>
      <c r="V26" s="18" t="inlineStr">
        <is>
          <t>Easy</t>
        </is>
      </c>
      <c r="W26" s="13" t="inlineStr">
        <is>
          <t>Notification throttler
Implement Throttler.Allow(userId, channel) so each user gets at most 3 push, 5 email and 10 in-app notifications per hour, with quiet hours 23:00-07:00 for push. Return the reason when a notification is held back.</t>
        </is>
      </c>
      <c r="X26" s="16" t="inlineStr">
        <is>
          <t>Medium</t>
        </is>
      </c>
    </row>
    <row r="27" ht="48" customHeight="1">
      <c r="A27" s="13" t="n">
        <v>26</v>
      </c>
      <c r="B27" s="14" t="n">
        <v>46318</v>
      </c>
      <c r="C27" s="13" t="inlineStr">
        <is>
          <t>Fri</t>
        </is>
      </c>
      <c r="D27" s="13" t="inlineStr">
        <is>
          <t>Light Friday</t>
        </is>
      </c>
      <c r="E27" s="13" t="n">
        <v>2</v>
      </c>
      <c r="F27" s="13" t="n">
        <v>4</v>
      </c>
      <c r="G27" s="13" t="inlineStr">
        <is>
          <t>Serverless</t>
        </is>
      </c>
      <c r="H27" s="13" t="inlineStr">
        <is>
          <t>Trees</t>
        </is>
      </c>
      <c r="I27" s="13" t="inlineStr">
        <is>
          <t>Recursion returns what the parent needs; DFS for depth/paths, BFS (queue) for levels.</t>
        </is>
      </c>
      <c r="J27" s="15" t="inlineStr">
        <is>
          <t>Binary Tree Level Order Traversal</t>
        </is>
      </c>
      <c r="K27" s="16" t="inlineStr">
        <is>
          <t>Medium</t>
        </is>
      </c>
      <c r="L27" s="15" t="inlineStr">
        <is>
          <t>Validate Binary Search Tree</t>
        </is>
      </c>
      <c r="M27" s="16" t="inlineStr">
        <is>
          <t>Medium</t>
        </is>
      </c>
      <c r="N27" s="15" t="inlineStr">
        <is>
          <t>Binary Tree Maximum Path Sum</t>
        </is>
      </c>
      <c r="O27" s="17" t="inlineStr">
        <is>
          <t>Hard</t>
        </is>
      </c>
      <c r="P27" s="13" t="inlineStr">
        <is>
          <t>Serverless vs servers: trade-offs</t>
        </is>
      </c>
      <c r="Q27" s="13" t="inlineStr">
        <is>
          <t>• Serverless: no servers to manage, pay per call, scales to zero
• Cold starts, time limits and vendor lock-in
• Good for spiky, event-driven work</t>
        </is>
      </c>
      <c r="R27" s="13" t="inlineStr">
        <is>
          <t>Template Method pattern</t>
        </is>
      </c>
      <c r="S27" s="13" t="inlineStr">
        <is>
          <t>AWS: Lambda: deploy a .NET function</t>
        </is>
      </c>
      <c r="T27" s="13" t="inlineStr"/>
      <c r="U27" s="15" t="inlineStr">
        <is>
          <t>Monthly Transactions I</t>
        </is>
      </c>
      <c r="V27" s="16" t="inlineStr">
        <is>
          <t>Medium</t>
        </is>
      </c>
      <c r="W27" s="15" t="inlineStr">
        <is>
          <t>Design an Ordered Stream</t>
        </is>
      </c>
      <c r="X27" s="18" t="inlineStr">
        <is>
          <t>Easy</t>
        </is>
      </c>
    </row>
    <row r="28" ht="48" customHeight="1">
      <c r="A28" s="13" t="n">
        <v>27</v>
      </c>
      <c r="B28" s="14" t="n">
        <v>46319</v>
      </c>
      <c r="C28" s="13" t="inlineStr">
        <is>
          <t>Sat</t>
        </is>
      </c>
      <c r="D28" s="13" t="inlineStr">
        <is>
          <t>Build Saturday</t>
        </is>
      </c>
      <c r="E28" s="13" t="n">
        <v>2</v>
      </c>
      <c r="F28" s="13" t="n">
        <v>4</v>
      </c>
      <c r="G28" s="13" t="inlineStr">
        <is>
          <t>Build: image pipeline</t>
        </is>
      </c>
      <c r="H28" s="13" t="inlineStr">
        <is>
          <t>Trees</t>
        </is>
      </c>
      <c r="I28" s="13" t="inlineStr">
        <is>
          <t>Recursion returns what the parent needs; DFS for depth/paths, BFS (queue) for levels.</t>
        </is>
      </c>
      <c r="J28" s="15" t="inlineStr">
        <is>
          <t>Construct Binary Tree from Preorder and Inorder Traversal</t>
        </is>
      </c>
      <c r="K28" s="16" t="inlineStr">
        <is>
          <t>Medium</t>
        </is>
      </c>
      <c r="L28" s="15" t="inlineStr">
        <is>
          <t>Lowest Common Ancestor of a Binary Tree</t>
        </is>
      </c>
      <c r="M28" s="16" t="inlineStr">
        <is>
          <t>Medium</t>
        </is>
      </c>
      <c r="N28" s="15" t="inlineStr">
        <is>
          <t>Serialize and Deserialize Binary Tree</t>
        </is>
      </c>
      <c r="O28" s="17" t="inlineStr">
        <is>
          <t>Hard</t>
        </is>
      </c>
      <c r="P28" s="13" t="inlineStr">
        <is>
          <t>Design an image upload + thumbnail pipeline</t>
        </is>
      </c>
      <c r="Q28" s="13" t="inlineStr">
        <is>
          <t>• Upload to object storage, event triggers processing
• Thumbnails generated asynchronously
• Store metadata in a DB; serve images through a CDN</t>
        </is>
      </c>
      <c r="R28" s="13" t="inlineStr">
        <is>
          <t>Chain of Responsibility for processing steps</t>
        </is>
      </c>
      <c r="S28" s="13" t="inlineStr">
        <is>
          <t>AWS: S3 upload triggers a Lambda</t>
        </is>
      </c>
      <c r="T28" s="13" t="inlineStr"/>
      <c r="U28" s="15" t="inlineStr">
        <is>
          <t>Project Employees I</t>
        </is>
      </c>
      <c r="V28" s="18" t="inlineStr">
        <is>
          <t>Easy</t>
        </is>
      </c>
      <c r="W28" s="15" t="inlineStr">
        <is>
          <t>Design Circular Deque</t>
        </is>
      </c>
      <c r="X28" s="16" t="inlineStr">
        <is>
          <t>Medium</t>
        </is>
      </c>
    </row>
    <row r="29" ht="48" customHeight="1">
      <c r="A29" s="13" t="n">
        <v>28</v>
      </c>
      <c r="B29" s="14" t="n">
        <v>46320</v>
      </c>
      <c r="C29" s="13" t="inlineStr">
        <is>
          <t>Sun</t>
        </is>
      </c>
      <c r="D29" s="13" t="inlineStr">
        <is>
          <t>Review Sunday</t>
        </is>
      </c>
      <c r="E29" s="13" t="n">
        <v>2</v>
      </c>
      <c r="F29" s="13" t="n">
        <v>4</v>
      </c>
      <c r="G29" s="13" t="inlineStr">
        <is>
          <t>Review week 4</t>
        </is>
      </c>
      <c r="H29" s="13" t="inlineStr">
        <is>
          <t>Trees</t>
        </is>
      </c>
      <c r="I29" s="13" t="inlineStr">
        <is>
          <t>Recursion returns what the parent needs; DFS for depth/paths, BFS (queue) for levels.</t>
        </is>
      </c>
      <c r="J29" s="15" t="inlineStr">
        <is>
          <t>Binary Tree Right Side View</t>
        </is>
      </c>
      <c r="K29" s="16" t="inlineStr">
        <is>
          <t>Medium</t>
        </is>
      </c>
      <c r="L29" s="15" t="inlineStr">
        <is>
          <t>Kth Smallest Element in a BST</t>
        </is>
      </c>
      <c r="M29" s="16" t="inlineStr">
        <is>
          <t>Medium</t>
        </is>
      </c>
      <c r="N29" s="15" t="inlineStr">
        <is>
          <t>Binary Tree Cameras</t>
        </is>
      </c>
      <c r="O29" s="17" t="inlineStr">
        <is>
          <t>Hard</t>
        </is>
      </c>
      <c r="P29" s="13" t="inlineStr">
        <is>
          <t>Revise all of Phase 1 on one page</t>
        </is>
      </c>
      <c r="Q29" s="13" t="inlineStr">
        <is>
          <t>• Revise all of Phase 1 on one page
• Re-draw 3-tier app, cache, queue and rate limiter
• Pick the 3 weakest topics</t>
        </is>
      </c>
      <c r="R29" s="13" t="inlineStr">
        <is>
          <t>Recap: all patterns so far, one line each</t>
        </is>
      </c>
      <c r="S29" s="13" t="inlineStr">
        <is>
          <t>AWS: Clean up, check billing</t>
        </is>
      </c>
      <c r="T29" s="13" t="inlineStr"/>
      <c r="U29" s="13" t="inlineStr">
        <is>
          <t>Re-solve the SQL you found hardest this week</t>
        </is>
      </c>
      <c r="V29" s="19" t="inlineStr">
        <is>
          <t>Review</t>
        </is>
      </c>
      <c r="W29" s="13" t="inlineStr">
        <is>
          <t>Re-solve one design question from this week</t>
        </is>
      </c>
      <c r="X29" s="19" t="inlineStr">
        <is>
          <t>Review</t>
        </is>
      </c>
    </row>
    <row r="30" ht="90" customHeight="1">
      <c r="A30" s="13" t="n">
        <v>29</v>
      </c>
      <c r="B30" s="14" t="n">
        <v>46321</v>
      </c>
      <c r="C30" s="13" t="inlineStr">
        <is>
          <t>Mon</t>
        </is>
      </c>
      <c r="D30" s="13" t="inlineStr">
        <is>
          <t>Office day</t>
        </is>
      </c>
      <c r="E30" s="13" t="n">
        <v>2</v>
      </c>
      <c r="F30" s="13" t="n">
        <v>5</v>
      </c>
      <c r="G30" s="13" t="inlineStr">
        <is>
          <t>API gateway</t>
        </is>
      </c>
      <c r="H30" s="13" t="inlineStr">
        <is>
          <t>Trees</t>
        </is>
      </c>
      <c r="I30" s="13" t="inlineStr">
        <is>
          <t>Recursion returns what the parent needs; DFS for depth/paths, BFS (queue) for levels.</t>
        </is>
      </c>
      <c r="J30" s="15" t="inlineStr">
        <is>
          <t>Count Good Nodes in Binary Tree</t>
        </is>
      </c>
      <c r="K30" s="16" t="inlineStr">
        <is>
          <t>Medium</t>
        </is>
      </c>
      <c r="L30" s="15" t="inlineStr">
        <is>
          <t>Path Sum II</t>
        </is>
      </c>
      <c r="M30" s="16" t="inlineStr">
        <is>
          <t>Medium</t>
        </is>
      </c>
      <c r="N30" s="15" t="inlineStr">
        <is>
          <t>Vertical Order Traversal of a Binary Tree</t>
        </is>
      </c>
      <c r="O30" s="17" t="inlineStr">
        <is>
          <t>Hard</t>
        </is>
      </c>
      <c r="P30" s="13" t="inlineStr">
        <is>
          <t>API gateway, BFF, auth at the edge</t>
        </is>
      </c>
      <c r="Q30" s="13" t="inlineStr">
        <is>
          <t>• API gateway: routing, auth, rate limiting, TLS in one place
• BFF: one backend per client type (web, mobile)
• Auth at the edge vs in each service</t>
        </is>
      </c>
      <c r="R30" s="13" t="inlineStr">
        <is>
          <t>Facade pattern</t>
        </is>
      </c>
      <c r="S30" s="13" t="inlineStr">
        <is>
          <t>AWS: API Gateway + Lambda REST API</t>
        </is>
      </c>
      <c r="T30" s="13" t="inlineStr"/>
      <c r="U30" s="15" t="inlineStr">
        <is>
          <t>Immediate Food Delivery II</t>
        </is>
      </c>
      <c r="V30" s="16" t="inlineStr">
        <is>
          <t>Medium</t>
        </is>
      </c>
      <c r="W30" s="13" t="inlineStr">
        <is>
          <t>API gateway route matcher
Implement Router.Add(pattern, service) with patterns like /users/{id}/orders and Router.Match(path) returning the service and path parameters. The most specific route wins; unknown paths return null. Aim for lookups faster than scanning every route.</t>
        </is>
      </c>
      <c r="X30" s="16" t="inlineStr">
        <is>
          <t>Medium</t>
        </is>
      </c>
    </row>
    <row r="31" ht="48" customHeight="1">
      <c r="A31" s="13" t="n">
        <v>30</v>
      </c>
      <c r="B31" s="14" t="n">
        <v>46322</v>
      </c>
      <c r="C31" s="13" t="inlineStr">
        <is>
          <t>Tue</t>
        </is>
      </c>
      <c r="D31" s="13" t="inlineStr">
        <is>
          <t>Office day</t>
        </is>
      </c>
      <c r="E31" s="13" t="n">
        <v>2</v>
      </c>
      <c r="F31" s="13" t="n">
        <v>5</v>
      </c>
      <c r="G31" s="13" t="inlineStr">
        <is>
          <t>Microservices</t>
        </is>
      </c>
      <c r="H31" s="13" t="inlineStr">
        <is>
          <t>Trees</t>
        </is>
      </c>
      <c r="I31" s="13" t="inlineStr">
        <is>
          <t>Recursion returns what the parent needs; DFS for depth/paths, BFS (queue) for levels.</t>
        </is>
      </c>
      <c r="J31" s="15" t="inlineStr">
        <is>
          <t>Flatten Binary Tree to Linked List</t>
        </is>
      </c>
      <c r="K31" s="16" t="inlineStr">
        <is>
          <t>Medium</t>
        </is>
      </c>
      <c r="L31" s="15" t="inlineStr">
        <is>
          <t>Populating Next Right Pointers in Each Node</t>
        </is>
      </c>
      <c r="M31" s="16" t="inlineStr">
        <is>
          <t>Medium</t>
        </is>
      </c>
      <c r="N31" s="15" t="inlineStr">
        <is>
          <t>Recover a Tree From Preorder Traversal</t>
        </is>
      </c>
      <c r="O31" s="17" t="inlineStr">
        <is>
          <t>Hard</t>
        </is>
      </c>
      <c r="P31" s="13" t="inlineStr">
        <is>
          <t>Monolith vs microservices, sync vs async calls</t>
        </is>
      </c>
      <c r="Q31" s="13" t="inlineStr">
        <is>
          <t>• Monolith first; split by business capability
• Sync (REST/gRPC) couples availability; async decouples
• Data ownership: one DB per service</t>
        </is>
      </c>
      <c r="R31" s="13" t="inlineStr">
        <is>
          <t>Adapter pattern</t>
        </is>
      </c>
      <c r="S31" s="13" t="inlineStr">
        <is>
          <t>AWS: Docker image → ECR</t>
        </is>
      </c>
      <c r="T31" s="13" t="inlineStr"/>
      <c r="U31" s="15" t="inlineStr">
        <is>
          <t>Percentage of Users Attended a Contest</t>
        </is>
      </c>
      <c r="V31" s="18" t="inlineStr">
        <is>
          <t>Easy</t>
        </is>
      </c>
      <c r="W31" s="15" t="inlineStr">
        <is>
          <t>Design Underground System</t>
        </is>
      </c>
      <c r="X31" s="16" t="inlineStr">
        <is>
          <t>Medium</t>
        </is>
      </c>
    </row>
    <row r="32" ht="90" customHeight="1">
      <c r="A32" s="13" t="n">
        <v>31</v>
      </c>
      <c r="B32" s="14" t="n">
        <v>46323</v>
      </c>
      <c r="C32" s="13" t="inlineStr">
        <is>
          <t>Wed</t>
        </is>
      </c>
      <c r="D32" s="13" t="inlineStr">
        <is>
          <t>Office day</t>
        </is>
      </c>
      <c r="E32" s="13" t="n">
        <v>2</v>
      </c>
      <c r="F32" s="13" t="n">
        <v>5</v>
      </c>
      <c r="G32" s="13" t="inlineStr">
        <is>
          <t>Containers</t>
        </is>
      </c>
      <c r="H32" s="13" t="inlineStr">
        <is>
          <t>Trees</t>
        </is>
      </c>
      <c r="I32" s="13" t="inlineStr">
        <is>
          <t>Recursion returns what the parent needs; DFS for depth/paths, BFS (queue) for levels.</t>
        </is>
      </c>
      <c r="J32" s="15" t="inlineStr">
        <is>
          <t>Delete Node in a BST</t>
        </is>
      </c>
      <c r="K32" s="16" t="inlineStr">
        <is>
          <t>Medium</t>
        </is>
      </c>
      <c r="L32" s="15" t="inlineStr">
        <is>
          <t>All Nodes Distance K in Binary Tree</t>
        </is>
      </c>
      <c r="M32" s="16" t="inlineStr">
        <is>
          <t>Medium</t>
        </is>
      </c>
      <c r="N32" s="15" t="inlineStr">
        <is>
          <t>Sum of Distances in Tree</t>
        </is>
      </c>
      <c r="O32" s="17" t="inlineStr">
        <is>
          <t>Hard</t>
        </is>
      </c>
      <c r="P32" s="13" t="inlineStr">
        <is>
          <t>Service discovery and health checks</t>
        </is>
      </c>
      <c r="Q32" s="13" t="inlineStr">
        <is>
          <t>• Service discovery: registry or DNS
• Liveness vs readiness health checks
• Containers vs VMs</t>
        </is>
      </c>
      <c r="R32" s="13" t="inlineStr">
        <is>
          <t>Dependency injection deep dive in .NET</t>
        </is>
      </c>
      <c r="S32" s="13" t="inlineStr">
        <is>
          <t>AWS: ECS Fargate: run your container</t>
        </is>
      </c>
      <c r="T32" s="13" t="inlineStr"/>
      <c r="U32" s="15" t="inlineStr">
        <is>
          <t>Game Play Analysis IV</t>
        </is>
      </c>
      <c r="V32" s="16" t="inlineStr">
        <is>
          <t>Medium</t>
        </is>
      </c>
      <c r="W32" s="13" t="inlineStr">
        <is>
          <t>Service registry with heartbeats
Implement Registry.Register(service, instance), Heartbeat(instance, t) and Healthy(service, t) that returns only instances that sent a heartbeat in the last 15 seconds, round-robin ordered.</t>
        </is>
      </c>
      <c r="X32" s="18" t="inlineStr">
        <is>
          <t>Easy</t>
        </is>
      </c>
    </row>
    <row r="33" ht="90" customHeight="1">
      <c r="A33" s="13" t="n">
        <v>32</v>
      </c>
      <c r="B33" s="14" t="n">
        <v>46324</v>
      </c>
      <c r="C33" s="13" t="inlineStr">
        <is>
          <t>Thu</t>
        </is>
      </c>
      <c r="D33" s="13" t="inlineStr">
        <is>
          <t>Office day</t>
        </is>
      </c>
      <c r="E33" s="13" t="n">
        <v>2</v>
      </c>
      <c r="F33" s="13" t="n">
        <v>5</v>
      </c>
      <c r="G33" s="13" t="inlineStr">
        <is>
          <t>Auth</t>
        </is>
      </c>
      <c r="H33" s="13" t="inlineStr">
        <is>
          <t>Trees</t>
        </is>
      </c>
      <c r="I33" s="13" t="inlineStr">
        <is>
          <t>Recursion returns what the parent needs; DFS for depth/paths, BFS (queue) for levels.</t>
        </is>
      </c>
      <c r="J33" s="15" t="inlineStr">
        <is>
          <t>Path Sum III</t>
        </is>
      </c>
      <c r="K33" s="16" t="inlineStr">
        <is>
          <t>Medium</t>
        </is>
      </c>
      <c r="L33" s="15" t="inlineStr">
        <is>
          <t>Maximum Width of Binary Tree</t>
        </is>
      </c>
      <c r="M33" s="16" t="inlineStr">
        <is>
          <t>Medium</t>
        </is>
      </c>
      <c r="N33" s="15" t="inlineStr">
        <is>
          <t>Maximum Sum BST in Binary Tree</t>
        </is>
      </c>
      <c r="O33" s="17" t="inlineStr">
        <is>
          <t>Hard</t>
        </is>
      </c>
      <c r="P33" s="13" t="inlineStr">
        <is>
          <t>Authentication vs authorization, JWT, OAuth2</t>
        </is>
      </c>
      <c r="Q33" s="13" t="inlineStr">
        <is>
          <t>• Authentication = who you are; authorization = what you may do
• JWT structure and why short expiry + refresh tokens
• OAuth2 authorization code flow</t>
        </is>
      </c>
      <c r="R33" s="13" t="inlineStr">
        <is>
          <t>Design an auth module with interfaces</t>
        </is>
      </c>
      <c r="S33" s="13" t="inlineStr">
        <is>
          <t>AWS: Cognito basics</t>
        </is>
      </c>
      <c r="T33" s="13" t="inlineStr"/>
      <c r="U33" s="15" t="inlineStr">
        <is>
          <t>Queries Quality and Percentage</t>
        </is>
      </c>
      <c r="V33" s="18" t="inlineStr">
        <is>
          <t>Easy</t>
        </is>
      </c>
      <c r="W33" s="13" t="inlineStr">
        <is>
          <t>Signed token with expiry
Implement TokenService.Issue(userId, roles, ttl) returning base64url(payload).base64url(HMACSHA256 signature) and Validate(token) that rejects bad signatures and expired tokens. This is the idea behind a JWT - explain what it does not protect.</t>
        </is>
      </c>
      <c r="X33" s="16" t="inlineStr">
        <is>
          <t>Medium</t>
        </is>
      </c>
    </row>
    <row r="34" ht="90" customHeight="1">
      <c r="A34" s="13" t="n">
        <v>33</v>
      </c>
      <c r="B34" s="14" t="n">
        <v>46325</v>
      </c>
      <c r="C34" s="13" t="inlineStr">
        <is>
          <t>Fri</t>
        </is>
      </c>
      <c r="D34" s="13" t="inlineStr">
        <is>
          <t>Light Friday</t>
        </is>
      </c>
      <c r="E34" s="13" t="n">
        <v>2</v>
      </c>
      <c r="F34" s="13" t="n">
        <v>5</v>
      </c>
      <c r="G34" s="13" t="inlineStr">
        <is>
          <t>Observability</t>
        </is>
      </c>
      <c r="H34" s="13" t="inlineStr">
        <is>
          <t>Trees</t>
        </is>
      </c>
      <c r="I34" s="13" t="inlineStr">
        <is>
          <t>Recursion returns what the parent needs; DFS for depth/paths, BFS (queue) for levels.</t>
        </is>
      </c>
      <c r="J34" s="15" t="inlineStr">
        <is>
          <t>Binary Tree Zigzag Level Order Traversal</t>
        </is>
      </c>
      <c r="K34" s="16" t="inlineStr">
        <is>
          <t>Medium</t>
        </is>
      </c>
      <c r="L34" s="15" t="inlineStr">
        <is>
          <t>Lowest Common Ancestor of a Binary Search Tree</t>
        </is>
      </c>
      <c r="M34" s="16" t="inlineStr">
        <is>
          <t>Medium</t>
        </is>
      </c>
      <c r="N34" s="15" t="inlineStr">
        <is>
          <t>Kth Ancestor of a Tree Node</t>
        </is>
      </c>
      <c r="O34" s="17" t="inlineStr">
        <is>
          <t>Hard</t>
        </is>
      </c>
      <c r="P34" s="13" t="inlineStr">
        <is>
          <t>Logs, metrics, traces</t>
        </is>
      </c>
      <c r="Q34" s="13" t="inlineStr">
        <is>
          <t>• Logs = events, metrics = numbers over time, traces = one request across services
• Correlation IDs tie them together
• Alert on symptoms (latency, errors), not causes</t>
        </is>
      </c>
      <c r="R34" s="13" t="inlineStr">
        <is>
          <t>Structured logging design</t>
        </is>
      </c>
      <c r="S34" s="13" t="inlineStr">
        <is>
          <t>AWS: CloudWatch logs, metrics, alarms</t>
        </is>
      </c>
      <c r="T34" s="13" t="inlineStr"/>
      <c r="U34" s="15" t="inlineStr">
        <is>
          <t>Number of Unique Subjects Taught by Each Teacher</t>
        </is>
      </c>
      <c r="V34" s="18" t="inlineStr">
        <is>
          <t>Easy</t>
        </is>
      </c>
      <c r="W34" s="13" t="inlineStr">
        <is>
          <t>Rolling latency percentiles
Implement Metrics.Record(endpoint, ms, t) and P50/P99(endpoint, t) over the last 60 seconds. Keep memory bounded (bucket per second) and explain the accuracy you gave up.</t>
        </is>
      </c>
      <c r="X34" s="16" t="inlineStr">
        <is>
          <t>Medium</t>
        </is>
      </c>
    </row>
    <row r="35" ht="48" customHeight="1">
      <c r="A35" s="13" t="n">
        <v>34</v>
      </c>
      <c r="B35" s="14" t="n">
        <v>46326</v>
      </c>
      <c r="C35" s="13" t="inlineStr">
        <is>
          <t>Sat</t>
        </is>
      </c>
      <c r="D35" s="13" t="inlineStr">
        <is>
          <t>Build Saturday</t>
        </is>
      </c>
      <c r="E35" s="13" t="n">
        <v>2</v>
      </c>
      <c r="F35" s="13" t="n">
        <v>5</v>
      </c>
      <c r="G35" s="13" t="inlineStr">
        <is>
          <t>Build: URL shortener</t>
        </is>
      </c>
      <c r="H35" s="13" t="inlineStr">
        <is>
          <t>Trees</t>
        </is>
      </c>
      <c r="I35" s="13" t="inlineStr">
        <is>
          <t>Recursion returns what the parent needs; DFS for depth/paths, BFS (queue) for levels.</t>
        </is>
      </c>
      <c r="J35" s="15" t="inlineStr">
        <is>
          <t>Unique Binary Search Trees II</t>
        </is>
      </c>
      <c r="K35" s="16" t="inlineStr">
        <is>
          <t>Medium</t>
        </is>
      </c>
      <c r="L35" s="15" t="inlineStr">
        <is>
          <t>Sum Root to Leaf Numbers</t>
        </is>
      </c>
      <c r="M35" s="16" t="inlineStr">
        <is>
          <t>Medium</t>
        </is>
      </c>
      <c r="N35" s="15" t="inlineStr">
        <is>
          <t>Longest Path With Different Adjacent Characters</t>
        </is>
      </c>
      <c r="O35" s="17" t="inlineStr">
        <is>
          <t>Hard</t>
        </is>
      </c>
      <c r="P35" s="13" t="inlineStr">
        <is>
          <t>Design a URL shortener</t>
        </is>
      </c>
      <c r="Q35" s="13" t="inlineStr">
        <is>
          <t>• Requirements: shorten, redirect, custom alias, expiry
• Key generation: base62 counter vs hash; collisions
• Read-heavy: cache hot links, 301 vs 302</t>
        </is>
      </c>
      <c r="R35" s="13" t="inlineStr">
        <is>
          <t>URL shortener LLD: ID generator, base62</t>
        </is>
      </c>
      <c r="S35" s="13" t="inlineStr">
        <is>
          <t>AWS: Build it: API Gateway + Lambda + DynamoDB</t>
        </is>
      </c>
      <c r="T35" s="13" t="inlineStr"/>
      <c r="U35" s="15" t="inlineStr">
        <is>
          <t>Product Sales Analysis III</t>
        </is>
      </c>
      <c r="V35" s="16" t="inlineStr">
        <is>
          <t>Medium</t>
        </is>
      </c>
      <c r="W35" s="15" t="inlineStr">
        <is>
          <t>Encode and Decode TinyURL</t>
        </is>
      </c>
      <c r="X35" s="16" t="inlineStr">
        <is>
          <t>Medium</t>
        </is>
      </c>
    </row>
    <row r="36" ht="48" customHeight="1">
      <c r="A36" s="13" t="n">
        <v>35</v>
      </c>
      <c r="B36" s="14" t="n">
        <v>46327</v>
      </c>
      <c r="C36" s="13" t="inlineStr">
        <is>
          <t>Sun</t>
        </is>
      </c>
      <c r="D36" s="13" t="inlineStr">
        <is>
          <t>Review Sunday</t>
        </is>
      </c>
      <c r="E36" s="13" t="n">
        <v>2</v>
      </c>
      <c r="F36" s="13" t="n">
        <v>5</v>
      </c>
      <c r="G36" s="13" t="inlineStr">
        <is>
          <t>Review week 5</t>
        </is>
      </c>
      <c r="H36" s="13" t="inlineStr">
        <is>
          <t>Heap / priority queue</t>
        </is>
      </c>
      <c r="I36" s="13" t="inlineStr">
        <is>
          <t>Top-K or 'always the smallest next' = heap; keep it size K for O(n log K).</t>
        </is>
      </c>
      <c r="J36" s="15" t="inlineStr">
        <is>
          <t>Kth Largest Element in an Array</t>
        </is>
      </c>
      <c r="K36" s="16" t="inlineStr">
        <is>
          <t>Medium</t>
        </is>
      </c>
      <c r="L36" s="15" t="inlineStr">
        <is>
          <t>K Closest Points to Origin</t>
        </is>
      </c>
      <c r="M36" s="16" t="inlineStr">
        <is>
          <t>Medium</t>
        </is>
      </c>
      <c r="N36" s="15" t="inlineStr">
        <is>
          <t>Find Median from Data Stream</t>
        </is>
      </c>
      <c r="O36" s="17" t="inlineStr">
        <is>
          <t>Hard</t>
        </is>
      </c>
      <c r="P36" s="13" t="inlineStr">
        <is>
          <t>Revise APIs, microservices, auth</t>
        </is>
      </c>
      <c r="Q36" s="13" t="inlineStr">
        <is>
          <t>• Revise APIs, microservices and auth
• Explain JWT and OAuth2 out loud
• List weak spots</t>
        </is>
      </c>
      <c r="R36" s="13" t="inlineStr">
        <is>
          <t>Recap: Facade, Adapter, DI</t>
        </is>
      </c>
      <c r="S36" s="13" t="inlineStr">
        <is>
          <t>AWS: Clean up, check billing</t>
        </is>
      </c>
      <c r="T36" s="13" t="inlineStr"/>
      <c r="U36" s="13" t="inlineStr">
        <is>
          <t>Re-solve the SQL you found hardest this week</t>
        </is>
      </c>
      <c r="V36" s="19" t="inlineStr">
        <is>
          <t>Review</t>
        </is>
      </c>
      <c r="W36" s="13" t="inlineStr">
        <is>
          <t>Re-solve one design question from this week</t>
        </is>
      </c>
      <c r="X36" s="19" t="inlineStr">
        <is>
          <t>Review</t>
        </is>
      </c>
    </row>
    <row r="37" ht="48" customHeight="1">
      <c r="A37" s="13" t="n">
        <v>36</v>
      </c>
      <c r="B37" s="14" t="n">
        <v>46328</v>
      </c>
      <c r="C37" s="13" t="inlineStr">
        <is>
          <t>Mon</t>
        </is>
      </c>
      <c r="D37" s="13" t="inlineStr">
        <is>
          <t>Office day</t>
        </is>
      </c>
      <c r="E37" s="13" t="n">
        <v>2</v>
      </c>
      <c r="F37" s="13" t="n">
        <v>6</v>
      </c>
      <c r="G37" s="13" t="inlineStr">
        <is>
          <t>Scheduling</t>
        </is>
      </c>
      <c r="H37" s="13" t="inlineStr">
        <is>
          <t>Heap / priority queue</t>
        </is>
      </c>
      <c r="I37" s="13" t="inlineStr">
        <is>
          <t>Top-K or 'always the smallest next' = heap; keep it size K for O(n log K).</t>
        </is>
      </c>
      <c r="J37" s="15" t="inlineStr">
        <is>
          <t>Task Scheduler</t>
        </is>
      </c>
      <c r="K37" s="16" t="inlineStr">
        <is>
          <t>Medium</t>
        </is>
      </c>
      <c r="L37" s="15" t="inlineStr">
        <is>
          <t>Design Twitter</t>
        </is>
      </c>
      <c r="M37" s="16" t="inlineStr">
        <is>
          <t>Medium</t>
        </is>
      </c>
      <c r="N37" s="15" t="inlineStr">
        <is>
          <t>IPO</t>
        </is>
      </c>
      <c r="O37" s="17" t="inlineStr">
        <is>
          <t>Hard</t>
        </is>
      </c>
      <c r="P37" s="13" t="inlineStr">
        <is>
          <t>Job schedulers and priority queues</t>
        </is>
      </c>
      <c r="Q37" s="13" t="inlineStr">
        <is>
          <t>• Scheduler: store jobs, pick due ones, run with retries
• Priority queues order work
• Distributed schedulers need locking so a job runs once</t>
        </is>
      </c>
      <c r="R37" s="13" t="inlineStr">
        <is>
          <t>Parking Lot part 1: requirements + entities</t>
        </is>
      </c>
      <c r="S37" s="13" t="inlineStr">
        <is>
          <t>AWS: EventBridge scheduled rules</t>
        </is>
      </c>
      <c r="T37" s="13" t="inlineStr"/>
      <c r="U37" s="15" t="inlineStr">
        <is>
          <t>Classes With at Least 5 Students</t>
        </is>
      </c>
      <c r="V37" s="18" t="inlineStr">
        <is>
          <t>Easy</t>
        </is>
      </c>
      <c r="W37" s="15" t="inlineStr">
        <is>
          <t>Single-Threaded CPU</t>
        </is>
      </c>
      <c r="X37" s="16" t="inlineStr">
        <is>
          <t>Medium</t>
        </is>
      </c>
    </row>
    <row r="38" ht="90" customHeight="1">
      <c r="A38" s="13" t="n">
        <v>37</v>
      </c>
      <c r="B38" s="14" t="n">
        <v>46329</v>
      </c>
      <c r="C38" s="13" t="inlineStr">
        <is>
          <t>Tue</t>
        </is>
      </c>
      <c r="D38" s="13" t="inlineStr">
        <is>
          <t>Office day</t>
        </is>
      </c>
      <c r="E38" s="13" t="n">
        <v>2</v>
      </c>
      <c r="F38" s="13" t="n">
        <v>6</v>
      </c>
      <c r="G38" s="13" t="inlineStr">
        <is>
          <t>Consistent hashing</t>
        </is>
      </c>
      <c r="H38" s="13" t="inlineStr">
        <is>
          <t>Heap / priority queue</t>
        </is>
      </c>
      <c r="I38" s="13" t="inlineStr">
        <is>
          <t>Top-K or 'always the smallest next' = heap; keep it size K for O(n log K).</t>
        </is>
      </c>
      <c r="J38" s="15" t="inlineStr">
        <is>
          <t>Reorganize String</t>
        </is>
      </c>
      <c r="K38" s="16" t="inlineStr">
        <is>
          <t>Medium</t>
        </is>
      </c>
      <c r="L38" s="15" t="inlineStr">
        <is>
          <t>Top K Frequent Words</t>
        </is>
      </c>
      <c r="M38" s="16" t="inlineStr">
        <is>
          <t>Medium</t>
        </is>
      </c>
      <c r="N38" s="15" t="inlineStr">
        <is>
          <t>Sliding Window Median</t>
        </is>
      </c>
      <c r="O38" s="17" t="inlineStr">
        <is>
          <t>Hard</t>
        </is>
      </c>
      <c r="P38" s="13" t="inlineStr">
        <is>
          <t>Consistent hashing</t>
        </is>
      </c>
      <c r="Q38" s="13" t="inlineStr">
        <is>
          <t>• Hash ring: adding a node moves only nearby keys
• Virtual nodes smooth out load
• Used in caches, DynamoDB, Cassandra</t>
        </is>
      </c>
      <c r="R38" s="13" t="inlineStr">
        <is>
          <t>Parking Lot part 2: pricing strategy, spot allocation</t>
        </is>
      </c>
      <c r="S38" s="13" t="inlineStr">
        <is>
          <t>AWS: VPC: public/private subnets, NAT</t>
        </is>
      </c>
      <c r="T38" s="13" t="inlineStr"/>
      <c r="U38" s="15" t="inlineStr">
        <is>
          <t>Customers Who Bought All Products</t>
        </is>
      </c>
      <c r="V38" s="16" t="inlineStr">
        <is>
          <t>Medium</t>
        </is>
      </c>
      <c r="W38" s="13" t="inlineStr">
        <is>
          <t>Consistent hash ring
Implement HashRing with AddNode(node, virtualNodes), RemoveNode(node) and GetNode(key) using a sorted map of hashes. Measure how many of 10,000 keys move when a 5th node joins 4 (compare with the shard router from day 11).</t>
        </is>
      </c>
      <c r="X38" s="16" t="inlineStr">
        <is>
          <t>Medium</t>
        </is>
      </c>
    </row>
    <row r="39" ht="48" customHeight="1">
      <c r="A39" s="13" t="n">
        <v>38</v>
      </c>
      <c r="B39" s="14" t="n">
        <v>46330</v>
      </c>
      <c r="C39" s="13" t="inlineStr">
        <is>
          <t>Wed</t>
        </is>
      </c>
      <c r="D39" s="13" t="inlineStr">
        <is>
          <t>Office day</t>
        </is>
      </c>
      <c r="E39" s="13" t="n">
        <v>2</v>
      </c>
      <c r="F39" s="13" t="n">
        <v>6</v>
      </c>
      <c r="G39" s="13" t="inlineStr">
        <is>
          <t>Graphs</t>
        </is>
      </c>
      <c r="H39" s="13" t="inlineStr">
        <is>
          <t>Graphs (BFS / DFS / union-find)</t>
        </is>
      </c>
      <c r="I39" s="13" t="inlineStr">
        <is>
          <t>Grid or adjacency list; BFS for shortest steps, DFS for components, topo sort for dependencies.</t>
        </is>
      </c>
      <c r="J39" s="15" t="inlineStr">
        <is>
          <t>Number of Islands</t>
        </is>
      </c>
      <c r="K39" s="16" t="inlineStr">
        <is>
          <t>Medium</t>
        </is>
      </c>
      <c r="L39" s="15" t="inlineStr">
        <is>
          <t>Clone Graph</t>
        </is>
      </c>
      <c r="M39" s="16" t="inlineStr">
        <is>
          <t>Medium</t>
        </is>
      </c>
      <c r="N39" s="15" t="inlineStr">
        <is>
          <t>Word Ladder</t>
        </is>
      </c>
      <c r="O39" s="17" t="inlineStr">
        <is>
          <t>Hard</t>
        </is>
      </c>
      <c r="P39" s="13" t="inlineStr">
        <is>
          <t>Modelling relationships, graph DB intro</t>
        </is>
      </c>
      <c r="Q39" s="13" t="inlineStr">
        <is>
          <t>• Model relationships as nodes and edges
• Graph DBs for multi-hop queries (friends of friends)
• When a relational DB is still fine</t>
        </is>
      </c>
      <c r="R39" s="13" t="inlineStr">
        <is>
          <t>Elevator system part 1: entities</t>
        </is>
      </c>
      <c r="S39" s="13" t="inlineStr">
        <is>
          <t>AWS: Security groups vs NACLs</t>
        </is>
      </c>
      <c r="T39" s="13" t="inlineStr"/>
      <c r="U39" s="15" t="inlineStr">
        <is>
          <t>Find Followers Count</t>
        </is>
      </c>
      <c r="V39" s="18" t="inlineStr">
        <is>
          <t>Easy</t>
        </is>
      </c>
      <c r="W39" s="15" t="inlineStr">
        <is>
          <t>Operations on Tree</t>
        </is>
      </c>
      <c r="X39" s="16" t="inlineStr">
        <is>
          <t>Medium</t>
        </is>
      </c>
    </row>
    <row r="40" ht="90" customHeight="1">
      <c r="A40" s="13" t="n">
        <v>39</v>
      </c>
      <c r="B40" s="14" t="n">
        <v>46331</v>
      </c>
      <c r="C40" s="13" t="inlineStr">
        <is>
          <t>Thu</t>
        </is>
      </c>
      <c r="D40" s="13" t="inlineStr">
        <is>
          <t>Office day</t>
        </is>
      </c>
      <c r="E40" s="13" t="n">
        <v>2</v>
      </c>
      <c r="F40" s="13" t="n">
        <v>6</v>
      </c>
      <c r="G40" s="13" t="inlineStr">
        <is>
          <t>Coordination</t>
        </is>
      </c>
      <c r="H40" s="13" t="inlineStr">
        <is>
          <t>Graphs (BFS / DFS / union-find)</t>
        </is>
      </c>
      <c r="I40" s="13" t="inlineStr">
        <is>
          <t>Grid or adjacency list; BFS for shortest steps, DFS for components, topo sort for dependencies.</t>
        </is>
      </c>
      <c r="J40" s="15" t="inlineStr">
        <is>
          <t>Rotting Oranges</t>
        </is>
      </c>
      <c r="K40" s="16" t="inlineStr">
        <is>
          <t>Medium</t>
        </is>
      </c>
      <c r="L40" s="15" t="inlineStr">
        <is>
          <t>Pacific Atlantic Water Flow</t>
        </is>
      </c>
      <c r="M40" s="16" t="inlineStr">
        <is>
          <t>Medium</t>
        </is>
      </c>
      <c r="N40" s="15" t="inlineStr">
        <is>
          <t>Shortest Path in a Grid with Obstacles Elimination</t>
        </is>
      </c>
      <c r="O40" s="17" t="inlineStr">
        <is>
          <t>Hard</t>
        </is>
      </c>
      <c r="P40" s="13" t="inlineStr">
        <is>
          <t>Heartbeats and leader election (basic)</t>
        </is>
      </c>
      <c r="Q40" s="13" t="inlineStr">
        <is>
          <t>• Heartbeats detect dead nodes
• Leader election: one node coordinates (Raft idea at a high level)
• Avoid split brain with quorums</t>
        </is>
      </c>
      <c r="R40" s="13" t="inlineStr">
        <is>
          <t>Elevator part 2: State pattern</t>
        </is>
      </c>
      <c r="S40" s="13" t="inlineStr">
        <is>
          <t>AWS: Secrets Manager and Parameter Store</t>
        </is>
      </c>
      <c r="T40" s="13" t="inlineStr"/>
      <c r="U40" s="15" t="inlineStr">
        <is>
          <t>Biggest Single Number</t>
        </is>
      </c>
      <c r="V40" s="18" t="inlineStr">
        <is>
          <t>Easy</t>
        </is>
      </c>
      <c r="W40" s="13" t="inlineStr">
        <is>
          <t>Lease-based leader election
Simulate 3 nodes that try to acquire a lease (key, owner, expiresAt) with compare-and-set on a shared store. The leader renews every 2 s; if it stops, another node takes over after the lease expires. Show no two leaders overlap.</t>
        </is>
      </c>
      <c r="X40" s="16" t="inlineStr">
        <is>
          <t>Medium</t>
        </is>
      </c>
    </row>
    <row r="41" ht="90" customHeight="1">
      <c r="A41" s="13" t="n">
        <v>40</v>
      </c>
      <c r="B41" s="14" t="n">
        <v>46332</v>
      </c>
      <c r="C41" s="13" t="inlineStr">
        <is>
          <t>Fri</t>
        </is>
      </c>
      <c r="D41" s="13" t="inlineStr">
        <is>
          <t>Light Friday</t>
        </is>
      </c>
      <c r="E41" s="13" t="n">
        <v>2</v>
      </c>
      <c r="F41" s="13" t="n">
        <v>6</v>
      </c>
      <c r="G41" s="13" t="inlineStr">
        <is>
          <t>Probabilistic tricks</t>
        </is>
      </c>
      <c r="H41" s="13" t="inlineStr">
        <is>
          <t>Graphs (BFS / DFS / union-find)</t>
        </is>
      </c>
      <c r="I41" s="13" t="inlineStr">
        <is>
          <t>Grid or adjacency list; BFS for shortest steps, DFS for components, topo sort for dependencies.</t>
        </is>
      </c>
      <c r="J41" s="15" t="inlineStr">
        <is>
          <t>Course Schedule</t>
        </is>
      </c>
      <c r="K41" s="16" t="inlineStr">
        <is>
          <t>Medium</t>
        </is>
      </c>
      <c r="L41" s="15" t="inlineStr">
        <is>
          <t>Course Schedule II</t>
        </is>
      </c>
      <c r="M41" s="16" t="inlineStr">
        <is>
          <t>Medium</t>
        </is>
      </c>
      <c r="N41" s="15" t="inlineStr">
        <is>
          <t>Critical Connections in a Network</t>
        </is>
      </c>
      <c r="O41" s="17" t="inlineStr">
        <is>
          <t>Hard</t>
        </is>
      </c>
      <c r="P41" s="13" t="inlineStr">
        <is>
          <t>Bloom filters</t>
        </is>
      </c>
      <c r="Q41" s="13" t="inlineStr">
        <is>
          <t>• Bloom filter: 'definitely not' or 'maybe yes' with tiny memory
• False-positive rate vs bits and hash functions
• Uses: cache filters, username checks</t>
        </is>
      </c>
      <c r="R41" s="13" t="inlineStr">
        <is>
          <t>Vending machine with State pattern</t>
        </is>
      </c>
      <c r="S41" s="13" t="inlineStr">
        <is>
          <t>AWS: CloudFormation / infrastructure as code intro</t>
        </is>
      </c>
      <c r="T41" s="13" t="inlineStr"/>
      <c r="U41" s="15" t="inlineStr">
        <is>
          <t>Product Price at a Given Date</t>
        </is>
      </c>
      <c r="V41" s="16" t="inlineStr">
        <is>
          <t>Medium</t>
        </is>
      </c>
      <c r="W41" s="13" t="inlineStr">
        <is>
          <t>Bloom filter
Implement BloomFilter(bits, hashCount) with Add(item) and MightContain(item) using double hashing. Insert 10,000 items and measure the false-positive rate for 1% and 5% targets against the formula.</t>
        </is>
      </c>
      <c r="X41" s="18" t="inlineStr">
        <is>
          <t>Easy</t>
        </is>
      </c>
    </row>
    <row r="42" ht="48" customHeight="1">
      <c r="A42" s="13" t="n">
        <v>41</v>
      </c>
      <c r="B42" s="14" t="n">
        <v>46333</v>
      </c>
      <c r="C42" s="13" t="inlineStr">
        <is>
          <t>Sat</t>
        </is>
      </c>
      <c r="D42" s="13" t="inlineStr">
        <is>
          <t>Build Saturday</t>
        </is>
      </c>
      <c r="E42" s="13" t="n">
        <v>2</v>
      </c>
      <c r="F42" s="13" t="n">
        <v>6</v>
      </c>
      <c r="G42" s="13" t="inlineStr">
        <is>
          <t>Build: parking system</t>
        </is>
      </c>
      <c r="H42" s="13" t="inlineStr">
        <is>
          <t>Graphs (BFS / DFS / union-find)</t>
        </is>
      </c>
      <c r="I42" s="13" t="inlineStr">
        <is>
          <t>Grid or adjacency list; BFS for shortest steps, DFS for components, topo sort for dependencies.</t>
        </is>
      </c>
      <c r="J42" s="15" t="inlineStr">
        <is>
          <t>Redundant Connection</t>
        </is>
      </c>
      <c r="K42" s="16" t="inlineStr">
        <is>
          <t>Medium</t>
        </is>
      </c>
      <c r="L42" s="15" t="inlineStr">
        <is>
          <t>Number of Provinces</t>
        </is>
      </c>
      <c r="M42" s="16" t="inlineStr">
        <is>
          <t>Medium</t>
        </is>
      </c>
      <c r="N42" s="15" t="inlineStr">
        <is>
          <t>Redundant Connection II</t>
        </is>
      </c>
      <c r="O42" s="17" t="inlineStr">
        <is>
          <t>Hard</t>
        </is>
      </c>
      <c r="P42" s="13" t="inlineStr">
        <is>
          <t>HLD of a parking system (pairs with your LLD)</t>
        </is>
      </c>
      <c r="Q42" s="13" t="inlineStr">
        <is>
          <t>• Entry/exit gates, spot allocation, payment
• Real-time availability per floor
• Pairs with your Parking Lot LLD</t>
        </is>
      </c>
      <c r="R42" s="13" t="inlineStr">
        <is>
          <t>Vending machine: full implementation</t>
        </is>
      </c>
      <c r="S42" s="13" t="inlineStr">
        <is>
          <t>AWS: GitHub Actions → deploy to ECS</t>
        </is>
      </c>
      <c r="T42" s="13" t="inlineStr"/>
      <c r="U42" s="15" t="inlineStr">
        <is>
          <t>The Number of Employees Which Report to Each Employee</t>
        </is>
      </c>
      <c r="V42" s="18" t="inlineStr">
        <is>
          <t>Easy</t>
        </is>
      </c>
      <c r="W42" s="15" t="inlineStr">
        <is>
          <t>Design Parking System</t>
        </is>
      </c>
      <c r="X42" s="18" t="inlineStr">
        <is>
          <t>Easy</t>
        </is>
      </c>
    </row>
    <row r="43" ht="48" customHeight="1">
      <c r="A43" s="13" t="n">
        <v>42</v>
      </c>
      <c r="B43" s="14" t="n">
        <v>46334</v>
      </c>
      <c r="C43" s="13" t="inlineStr">
        <is>
          <t>Sun</t>
        </is>
      </c>
      <c r="D43" s="13" t="inlineStr">
        <is>
          <t>Review Sunday</t>
        </is>
      </c>
      <c r="E43" s="13" t="n">
        <v>2</v>
      </c>
      <c r="F43" s="13" t="n">
        <v>6</v>
      </c>
      <c r="G43" s="13" t="inlineStr">
        <is>
          <t>Review week 6</t>
        </is>
      </c>
      <c r="H43" s="13" t="inlineStr">
        <is>
          <t>Graphs (BFS / DFS / union-find)</t>
        </is>
      </c>
      <c r="I43" s="13" t="inlineStr">
        <is>
          <t>Grid or adjacency list; BFS for shortest steps, DFS for components, topo sort for dependencies.</t>
        </is>
      </c>
      <c r="J43" s="15" t="inlineStr">
        <is>
          <t>Surrounded Regions</t>
        </is>
      </c>
      <c r="K43" s="16" t="inlineStr">
        <is>
          <t>Medium</t>
        </is>
      </c>
      <c r="L43" s="15" t="inlineStr">
        <is>
          <t>Open the Lock</t>
        </is>
      </c>
      <c r="M43" s="16" t="inlineStr">
        <is>
          <t>Medium</t>
        </is>
      </c>
      <c r="N43" s="15" t="inlineStr">
        <is>
          <t>Bus Routes</t>
        </is>
      </c>
      <c r="O43" s="17" t="inlineStr">
        <is>
          <t>Hard</t>
        </is>
      </c>
      <c r="P43" s="13" t="inlineStr">
        <is>
          <t>Revise scheduling, hashing, coordination</t>
        </is>
      </c>
      <c r="Q43" s="13" t="inlineStr">
        <is>
          <t>• Revise scheduling, hashing and coordination
• Explain consistent hashing out loud
• List weak spots</t>
        </is>
      </c>
      <c r="R43" s="13" t="inlineStr">
        <is>
          <t>Recap: Parking Lot, Elevator, State</t>
        </is>
      </c>
      <c r="S43" s="13" t="inlineStr">
        <is>
          <t>AWS: Clean up, check billing</t>
        </is>
      </c>
      <c r="T43" s="13" t="inlineStr"/>
      <c r="U43" s="13" t="inlineStr">
        <is>
          <t>Re-solve the SQL you found hardest this week</t>
        </is>
      </c>
      <c r="V43" s="19" t="inlineStr">
        <is>
          <t>Review</t>
        </is>
      </c>
      <c r="W43" s="13" t="inlineStr">
        <is>
          <t>Re-solve one design question from this week</t>
        </is>
      </c>
      <c r="X43" s="19" t="inlineStr">
        <is>
          <t>Review</t>
        </is>
      </c>
    </row>
    <row r="44" ht="48" customHeight="1">
      <c r="A44" s="13" t="n">
        <v>43</v>
      </c>
      <c r="B44" s="14" t="n">
        <v>46335</v>
      </c>
      <c r="C44" s="13" t="inlineStr">
        <is>
          <t>Mon</t>
        </is>
      </c>
      <c r="D44" s="13" t="inlineStr">
        <is>
          <t>Office day</t>
        </is>
      </c>
      <c r="E44" s="13" t="n">
        <v>2</v>
      </c>
      <c r="F44" s="13" t="n">
        <v>7</v>
      </c>
      <c r="G44" s="13" t="inlineStr">
        <is>
          <t>Search</t>
        </is>
      </c>
      <c r="H44" s="13" t="inlineStr">
        <is>
          <t>Trie</t>
        </is>
      </c>
      <c r="I44" s="13" t="inlineStr">
        <is>
          <t>Each node = one character with children map + end flag; prefix queries become O(length).</t>
        </is>
      </c>
      <c r="J44" s="15" t="inlineStr">
        <is>
          <t>Implement Trie (Prefix Tree)</t>
        </is>
      </c>
      <c r="K44" s="16" t="inlineStr">
        <is>
          <t>Medium</t>
        </is>
      </c>
      <c r="L44" s="15" t="inlineStr">
        <is>
          <t>Design Add and Search Words Data Structure</t>
        </is>
      </c>
      <c r="M44" s="16" t="inlineStr">
        <is>
          <t>Medium</t>
        </is>
      </c>
      <c r="N44" s="15" t="inlineStr">
        <is>
          <t>Word Search II</t>
        </is>
      </c>
      <c r="O44" s="17" t="inlineStr">
        <is>
          <t>Hard</t>
        </is>
      </c>
      <c r="P44" s="13" t="inlineStr">
        <is>
          <t>Typeahead / autocomplete</t>
        </is>
      </c>
      <c r="Q44" s="13" t="inlineStr">
        <is>
          <t>• Typeahead: prefix → top suggestions
• Trie with top-K cached per node, or search index
• Update ranking offline, serve from memory</t>
        </is>
      </c>
      <c r="R44" s="13" t="inlineStr">
        <is>
          <t>Trie design</t>
        </is>
      </c>
      <c r="S44" s="13" t="inlineStr">
        <is>
          <t>AWS: OpenSearch overview</t>
        </is>
      </c>
      <c r="T44" s="13" t="inlineStr"/>
      <c r="U44" s="15" t="inlineStr">
        <is>
          <t>Last Person to Fit in the Bus</t>
        </is>
      </c>
      <c r="V44" s="16" t="inlineStr">
        <is>
          <t>Medium</t>
        </is>
      </c>
      <c r="W44" s="15" t="inlineStr">
        <is>
          <t>Map Sum Pairs</t>
        </is>
      </c>
      <c r="X44" s="16" t="inlineStr">
        <is>
          <t>Medium</t>
        </is>
      </c>
    </row>
    <row r="45" ht="48" customHeight="1">
      <c r="A45" s="13" t="n">
        <v>44</v>
      </c>
      <c r="B45" s="14" t="n">
        <v>46336</v>
      </c>
      <c r="C45" s="13" t="inlineStr">
        <is>
          <t>Tue</t>
        </is>
      </c>
      <c r="D45" s="13" t="inlineStr">
        <is>
          <t>Office day</t>
        </is>
      </c>
      <c r="E45" s="13" t="n">
        <v>2</v>
      </c>
      <c r="F45" s="13" t="n">
        <v>7</v>
      </c>
      <c r="G45" s="13" t="inlineStr">
        <is>
          <t>Pagination</t>
        </is>
      </c>
      <c r="H45" s="13" t="inlineStr">
        <is>
          <t>Trie</t>
        </is>
      </c>
      <c r="I45" s="13" t="inlineStr">
        <is>
          <t>Each node = one character with children map + end flag; prefix queries become O(length).</t>
        </is>
      </c>
      <c r="J45" s="15" t="inlineStr">
        <is>
          <t>Search Suggestions System</t>
        </is>
      </c>
      <c r="K45" s="16" t="inlineStr">
        <is>
          <t>Medium</t>
        </is>
      </c>
      <c r="L45" s="15" t="inlineStr">
        <is>
          <t>Replace Words</t>
        </is>
      </c>
      <c r="M45" s="16" t="inlineStr">
        <is>
          <t>Medium</t>
        </is>
      </c>
      <c r="N45" s="15" t="inlineStr">
        <is>
          <t>Palindrome Pairs</t>
        </is>
      </c>
      <c r="O45" s="17" t="inlineStr">
        <is>
          <t>Hard</t>
        </is>
      </c>
      <c r="P45" s="13" t="inlineStr">
        <is>
          <t>Offset vs cursor pagination</t>
        </is>
      </c>
      <c r="Q45" s="13" t="inlineStr">
        <is>
          <t>• Offset pagination is simple but slow and unstable on big tables
• Cursor pagination uses the last seen key
• Return next-cursor tokens</t>
        </is>
      </c>
      <c r="R45" s="13" t="inlineStr">
        <is>
          <t>BookMyShow part 1: entities</t>
        </is>
      </c>
      <c r="S45" s="13" t="inlineStr">
        <is>
          <t>AWS: DynamoDB queries and pagination</t>
        </is>
      </c>
      <c r="T45" s="13" t="inlineStr"/>
      <c r="U45" s="15" t="inlineStr">
        <is>
          <t>Primary Department for Each Employee</t>
        </is>
      </c>
      <c r="V45" s="18" t="inlineStr">
        <is>
          <t>Easy</t>
        </is>
      </c>
      <c r="W45" s="15" t="inlineStr">
        <is>
          <t>Binary Search Tree Iterator</t>
        </is>
      </c>
      <c r="X45" s="16" t="inlineStr">
        <is>
          <t>Medium</t>
        </is>
      </c>
    </row>
    <row r="46" ht="90" customHeight="1">
      <c r="A46" s="13" t="n">
        <v>45</v>
      </c>
      <c r="B46" s="14" t="n">
        <v>46337</v>
      </c>
      <c r="C46" s="13" t="inlineStr">
        <is>
          <t>Wed</t>
        </is>
      </c>
      <c r="D46" s="13" t="inlineStr">
        <is>
          <t>Office day</t>
        </is>
      </c>
      <c r="E46" s="13" t="n">
        <v>2</v>
      </c>
      <c r="F46" s="13" t="n">
        <v>7</v>
      </c>
      <c r="G46" s="13" t="inlineStr">
        <is>
          <t>Concurrency</t>
        </is>
      </c>
      <c r="H46" s="13" t="inlineStr">
        <is>
          <t>Intervals</t>
        </is>
      </c>
      <c r="I46" s="13" t="inlineStr">
        <is>
          <t>Sort by start (or end for greedy removal), then merge or compare neighbours.</t>
        </is>
      </c>
      <c r="J46" s="15" t="inlineStr">
        <is>
          <t>Merge Intervals</t>
        </is>
      </c>
      <c r="K46" s="16" t="inlineStr">
        <is>
          <t>Medium</t>
        </is>
      </c>
      <c r="L46" s="15" t="inlineStr">
        <is>
          <t>Insert Interval</t>
        </is>
      </c>
      <c r="M46" s="16" t="inlineStr">
        <is>
          <t>Medium</t>
        </is>
      </c>
      <c r="N46" s="15" t="inlineStr">
        <is>
          <t>The Skyline Problem</t>
        </is>
      </c>
      <c r="O46" s="17" t="inlineStr">
        <is>
          <t>Hard</t>
        </is>
      </c>
      <c r="P46" s="13" t="inlineStr">
        <is>
          <t>Optimistic vs pessimistic locking, distributed locks</t>
        </is>
      </c>
      <c r="Q46" s="13" t="inlineStr">
        <is>
          <t>• Optimistic locking: version check on write
• Pessimistic locking: lock first, then write
• Distributed locks with Redis and expiry</t>
        </is>
      </c>
      <c r="R46" s="13" t="inlineStr">
        <is>
          <t>BookMyShow part 2: seat locking</t>
        </is>
      </c>
      <c r="S46" s="13" t="inlineStr">
        <is>
          <t>AWS: DynamoDB conditional writes</t>
        </is>
      </c>
      <c r="T46" s="13" t="inlineStr"/>
      <c r="U46" s="15" t="inlineStr">
        <is>
          <t>Count Salary Categories</t>
        </is>
      </c>
      <c r="V46" s="16" t="inlineStr">
        <is>
          <t>Medium</t>
        </is>
      </c>
      <c r="W46" s="13" t="inlineStr">
        <is>
          <t>Seat hold with optimistic locking
Implement SeatService.Hold(showId, seatId, userId) with a version number per seat: a hold succeeds only if the version it read is still current, holds expire after 5 minutes, Confirm(holdId) turns a hold into a booking. Run 100 parallel holds on one seat.</t>
        </is>
      </c>
      <c r="X46" s="16" t="inlineStr">
        <is>
          <t>Medium</t>
        </is>
      </c>
    </row>
    <row r="47" ht="90" customHeight="1">
      <c r="A47" s="13" t="n">
        <v>46</v>
      </c>
      <c r="B47" s="14" t="n">
        <v>46338</v>
      </c>
      <c r="C47" s="13" t="inlineStr">
        <is>
          <t>Thu</t>
        </is>
      </c>
      <c r="D47" s="13" t="inlineStr">
        <is>
          <t>Office day</t>
        </is>
      </c>
      <c r="E47" s="13" t="n">
        <v>2</v>
      </c>
      <c r="F47" s="13" t="n">
        <v>7</v>
      </c>
      <c r="G47" s="13" t="inlineStr">
        <is>
          <t>Real-time</t>
        </is>
      </c>
      <c r="H47" s="13" t="inlineStr">
        <is>
          <t>Intervals</t>
        </is>
      </c>
      <c r="I47" s="13" t="inlineStr">
        <is>
          <t>Sort by start (or end for greedy removal), then merge or compare neighbours.</t>
        </is>
      </c>
      <c r="J47" s="15" t="inlineStr">
        <is>
          <t>Non-overlapping Intervals</t>
        </is>
      </c>
      <c r="K47" s="16" t="inlineStr">
        <is>
          <t>Medium</t>
        </is>
      </c>
      <c r="L47" s="15" t="inlineStr">
        <is>
          <t>Minimum Number of Arrows to Burst Balloons</t>
        </is>
      </c>
      <c r="M47" s="16" t="inlineStr">
        <is>
          <t>Medium</t>
        </is>
      </c>
      <c r="N47" s="15" t="inlineStr">
        <is>
          <t>Minimum Interval to Include Each Query</t>
        </is>
      </c>
      <c r="O47" s="17" t="inlineStr">
        <is>
          <t>Hard</t>
        </is>
      </c>
      <c r="P47" s="13" t="inlineStr">
        <is>
          <t>Polling, long polling, WebSockets</t>
        </is>
      </c>
      <c r="Q47" s="13" t="inlineStr">
        <is>
          <t>• Polling vs long polling vs WebSockets vs SSE
• Connection servers + a pub/sub backbone
• Presence and reconnect handling</t>
        </is>
      </c>
      <c r="R47" s="13" t="inlineStr">
        <is>
          <t>Chat LLD: user, room, message</t>
        </is>
      </c>
      <c r="S47" s="13" t="inlineStr">
        <is>
          <t>AWS: API Gateway WebSockets</t>
        </is>
      </c>
      <c r="T47" s="13" t="inlineStr"/>
      <c r="U47" s="15" t="inlineStr">
        <is>
          <t>Triangle Judgement</t>
        </is>
      </c>
      <c r="V47" s="18" t="inlineStr">
        <is>
          <t>Easy</t>
        </is>
      </c>
      <c r="W47" s="13" t="inlineStr">
        <is>
          <t>In-memory chat room broadcaster
Implement ChatHub.Join(room, user, Action&lt;Message&gt; deliver), Leave and Send(room, from, text) that delivers to everyone else in order, keeps the last 50 messages for late joiners, and never blocks the sender on a slow receiver (per-user queue).</t>
        </is>
      </c>
      <c r="X47" s="16" t="inlineStr">
        <is>
          <t>Medium</t>
        </is>
      </c>
    </row>
    <row r="48" ht="90" customHeight="1">
      <c r="A48" s="13" t="n">
        <v>47</v>
      </c>
      <c r="B48" s="14" t="n">
        <v>46339</v>
      </c>
      <c r="C48" s="13" t="inlineStr">
        <is>
          <t>Fri</t>
        </is>
      </c>
      <c r="D48" s="13" t="inlineStr">
        <is>
          <t>Light Friday</t>
        </is>
      </c>
      <c r="E48" s="13" t="n">
        <v>2</v>
      </c>
      <c r="F48" s="13" t="n">
        <v>7</v>
      </c>
      <c r="G48" s="13" t="inlineStr">
        <is>
          <t>Estimation</t>
        </is>
      </c>
      <c r="H48" s="13" t="inlineStr">
        <is>
          <t>Bit manipulation</t>
        </is>
      </c>
      <c r="I48" s="13" t="inlineStr">
        <is>
          <t>x &amp; (x-1) drops the lowest set bit; XOR cancels pairs; shifts read bits one by one.</t>
        </is>
      </c>
      <c r="J48" s="15" t="inlineStr">
        <is>
          <t>Sum of Two Integers</t>
        </is>
      </c>
      <c r="K48" s="16" t="inlineStr">
        <is>
          <t>Medium</t>
        </is>
      </c>
      <c r="L48" s="15" t="inlineStr">
        <is>
          <t>Single Number II</t>
        </is>
      </c>
      <c r="M48" s="16" t="inlineStr">
        <is>
          <t>Medium</t>
        </is>
      </c>
      <c r="N48" s="15" t="inlineStr">
        <is>
          <t>Maximum XOR With an Element From Array</t>
        </is>
      </c>
      <c r="O48" s="17" t="inlineStr">
        <is>
          <t>Hard</t>
        </is>
      </c>
      <c r="P48" s="13" t="inlineStr">
        <is>
          <t>Back-of-envelope estimation</t>
        </is>
      </c>
      <c r="Q48" s="13" t="inlineStr">
        <is>
          <t>• Users → requests/sec → storage/day → bandwidth
• Round numbers: 1 day ≈ 100k seconds
• Estimate peak = 2-3x average</t>
        </is>
      </c>
      <c r="R48" s="13" t="inlineStr">
        <is>
          <t>Splitwise part 1: entities</t>
        </is>
      </c>
      <c r="S48" s="13" t="inlineStr">
        <is>
          <t>AWS: AWS pricing and cost optimization</t>
        </is>
      </c>
      <c r="T48" s="13" t="inlineStr"/>
      <c r="U48" s="15" t="inlineStr">
        <is>
          <t>Exchange Seats</t>
        </is>
      </c>
      <c r="V48" s="16" t="inlineStr">
        <is>
          <t>Medium</t>
        </is>
      </c>
      <c r="W48" s="13" t="inlineStr">
        <is>
          <t>Capacity estimator
Write Estimate(dailyActiveUsers, requestsPerUserPerDay, bytesPerRequest, peakFactor) returning average QPS, peak QPS, storage per day and per year, and servers needed at 1,000 QPS each. Check it against WhatsApp-scale numbers.</t>
        </is>
      </c>
      <c r="X48" s="18" t="inlineStr">
        <is>
          <t>Easy</t>
        </is>
      </c>
    </row>
    <row r="49" ht="90" customHeight="1">
      <c r="A49" s="13" t="n">
        <v>48</v>
      </c>
      <c r="B49" s="14" t="n">
        <v>46340</v>
      </c>
      <c r="C49" s="13" t="inlineStr">
        <is>
          <t>Sat</t>
        </is>
      </c>
      <c r="D49" s="13" t="inlineStr">
        <is>
          <t>Build Saturday</t>
        </is>
      </c>
      <c r="E49" s="13" t="n">
        <v>2</v>
      </c>
      <c r="F49" s="13" t="n">
        <v>7</v>
      </c>
      <c r="G49" s="13" t="inlineStr">
        <is>
          <t>Build: chat app</t>
        </is>
      </c>
      <c r="H49" s="13" t="inlineStr">
        <is>
          <t>Advanced graphs (Dijkstra / MST)</t>
        </is>
      </c>
      <c r="I49" s="13" t="inlineStr">
        <is>
          <t>Weighted shortest path = Dijkstra with a min-heap; connect-all-cheaply = Prim/Kruskal.</t>
        </is>
      </c>
      <c r="J49" s="15" t="inlineStr">
        <is>
          <t>Network Delay Time</t>
        </is>
      </c>
      <c r="K49" s="16" t="inlineStr">
        <is>
          <t>Medium</t>
        </is>
      </c>
      <c r="L49" s="15" t="inlineStr">
        <is>
          <t>Cheapest Flights Within K Stops</t>
        </is>
      </c>
      <c r="M49" s="16" t="inlineStr">
        <is>
          <t>Medium</t>
        </is>
      </c>
      <c r="N49" s="15" t="inlineStr">
        <is>
          <t>Swim in Rising Water</t>
        </is>
      </c>
      <c r="O49" s="17" t="inlineStr">
        <is>
          <t>Hard</t>
        </is>
      </c>
      <c r="P49" s="13" t="inlineStr">
        <is>
          <t>Design a basic chat app</t>
        </is>
      </c>
      <c r="Q49" s="13" t="inlineStr">
        <is>
          <t>• 1:1 and group chat over WebSockets
• Message store, delivery and read receipts
• Fan-out on write for groups</t>
        </is>
      </c>
      <c r="R49" s="13" t="inlineStr">
        <is>
          <t>Splitwise: full implementation</t>
        </is>
      </c>
      <c r="S49" s="13" t="inlineStr">
        <is>
          <t>AWS: Deploy a WebSocket/SignalR demo</t>
        </is>
      </c>
      <c r="T49" s="13" t="inlineStr"/>
      <c r="U49" s="15" t="inlineStr">
        <is>
          <t>Employees Whose Manager Left the Company</t>
        </is>
      </c>
      <c r="V49" s="18" t="inlineStr">
        <is>
          <t>Easy</t>
        </is>
      </c>
      <c r="W49" s="13" t="inlineStr">
        <is>
          <t>Group chat with read receipts
Extend the day-46 hub: Send returns a messageId; MarkRead(user, messageId) records reads; Receipts(messageId) returns who has read it. Store receipts compactly (last-read pointer per user) rather than per message.</t>
        </is>
      </c>
      <c r="X49" s="16" t="inlineStr">
        <is>
          <t>Medium</t>
        </is>
      </c>
    </row>
    <row r="50" ht="48" customHeight="1">
      <c r="A50" s="13" t="n">
        <v>49</v>
      </c>
      <c r="B50" s="14" t="n">
        <v>46341</v>
      </c>
      <c r="C50" s="13" t="inlineStr">
        <is>
          <t>Sun</t>
        </is>
      </c>
      <c r="D50" s="13" t="inlineStr">
        <is>
          <t>Review Sunday</t>
        </is>
      </c>
      <c r="E50" s="13" t="n">
        <v>2</v>
      </c>
      <c r="F50" s="13" t="n">
        <v>7</v>
      </c>
      <c r="G50" s="13" t="inlineStr">
        <is>
          <t>Review week 7</t>
        </is>
      </c>
      <c r="H50" s="13" t="inlineStr">
        <is>
          <t>Bit manipulation</t>
        </is>
      </c>
      <c r="I50" s="13" t="inlineStr">
        <is>
          <t>x &amp; (x-1) drops the lowest set bit; XOR cancels pairs; shifts read bits one by one.</t>
        </is>
      </c>
      <c r="J50" s="15" t="inlineStr">
        <is>
          <t>Maximum XOR of Two Numbers in an Array</t>
        </is>
      </c>
      <c r="K50" s="16" t="inlineStr">
        <is>
          <t>Medium</t>
        </is>
      </c>
      <c r="L50" s="15" t="inlineStr">
        <is>
          <t>Bitwise AND of Numbers Range</t>
        </is>
      </c>
      <c r="M50" s="16" t="inlineStr">
        <is>
          <t>Medium</t>
        </is>
      </c>
      <c r="N50" s="15" t="inlineStr">
        <is>
          <t>Shortest Path Visiting All Nodes</t>
        </is>
      </c>
      <c r="O50" s="17" t="inlineStr">
        <is>
          <t>Hard</t>
        </is>
      </c>
      <c r="P50" s="13" t="inlineStr">
        <is>
          <t>Revise search, concurrency, real-time</t>
        </is>
      </c>
      <c r="Q50" s="13" t="inlineStr">
        <is>
          <t>• Revise search, concurrency and real-time
• Explain locking choices out loud
• List weak spots</t>
        </is>
      </c>
      <c r="R50" s="13" t="inlineStr">
        <is>
          <t>Recap: Trie, BookMyShow, Chat, Splitwise</t>
        </is>
      </c>
      <c r="S50" s="13" t="inlineStr">
        <is>
          <t>AWS: Clean up, check billing</t>
        </is>
      </c>
      <c r="T50" s="13" t="inlineStr"/>
      <c r="U50" s="13" t="inlineStr">
        <is>
          <t>Re-solve the SQL you found hardest this week</t>
        </is>
      </c>
      <c r="V50" s="19" t="inlineStr">
        <is>
          <t>Review</t>
        </is>
      </c>
      <c r="W50" s="13" t="inlineStr">
        <is>
          <t>Re-solve one design question from this week</t>
        </is>
      </c>
      <c r="X50" s="19" t="inlineStr">
        <is>
          <t>Review</t>
        </is>
      </c>
    </row>
    <row r="51" ht="90" customHeight="1">
      <c r="A51" s="13" t="n">
        <v>50</v>
      </c>
      <c r="B51" s="14" t="n">
        <v>46342</v>
      </c>
      <c r="C51" s="13" t="inlineStr">
        <is>
          <t>Mon</t>
        </is>
      </c>
      <c r="D51" s="13" t="inlineStr">
        <is>
          <t>Office day</t>
        </is>
      </c>
      <c r="E51" s="13" t="n">
        <v>2</v>
      </c>
      <c r="F51" s="13" t="n">
        <v>8</v>
      </c>
      <c r="G51" s="13" t="inlineStr">
        <is>
          <t>Phase 2 checkpoint</t>
        </is>
      </c>
      <c r="H51" s="13" t="inlineStr">
        <is>
          <t>Dynamic programming</t>
        </is>
      </c>
      <c r="I51" s="13" t="inlineStr">
        <is>
          <t>Define dp[i] in words, write the recurrence, fix the base case, then optimise space.</t>
        </is>
      </c>
      <c r="J51" s="15" t="inlineStr">
        <is>
          <t>House Robber II</t>
        </is>
      </c>
      <c r="K51" s="16" t="inlineStr">
        <is>
          <t>Medium</t>
        </is>
      </c>
      <c r="L51" s="15" t="inlineStr">
        <is>
          <t>Coin Change</t>
        </is>
      </c>
      <c r="M51" s="16" t="inlineStr">
        <is>
          <t>Medium</t>
        </is>
      </c>
      <c r="N51" s="15" t="inlineStr">
        <is>
          <t>Burst Balloons</t>
        </is>
      </c>
      <c r="O51" s="17" t="inlineStr">
        <is>
          <t>Hard</t>
        </is>
      </c>
      <c r="P51" s="13" t="inlineStr">
        <is>
          <t>Notification system v2: retries, preferences, rate limits</t>
        </is>
      </c>
      <c r="Q51" s="13" t="inlineStr">
        <is>
          <t>• Notification v2: retries, preferences, rate limits, templates
• Priorities and quiet hours
• Checkpoint: whiteboard it in 25 minutes</t>
        </is>
      </c>
      <c r="R51" s="13" t="inlineStr">
        <is>
          <t>Logger framework LLD</t>
        </is>
      </c>
      <c r="S51" s="13" t="inlineStr">
        <is>
          <t>AWS: AWS Cloud Practitioner full mock</t>
        </is>
      </c>
      <c r="T51" s="13" t="inlineStr">
        <is>
          <t>• Solve 1 tree, 1 graph and 1 heap medium in 75 minutes
• Whiteboard notification system v2 in 25 minutes
• Implement one classic LLD (Parking Lot or Splitwise) end to end in 60 minutes
• AWS Cloud Practitioner full mock: 75%+</t>
        </is>
      </c>
      <c r="U51" s="15" t="inlineStr">
        <is>
          <t>Movie Rating</t>
        </is>
      </c>
      <c r="V51" s="16" t="inlineStr">
        <is>
          <t>Medium</t>
        </is>
      </c>
      <c r="W51" s="13" t="inlineStr">
        <is>
          <t>Retry scheduler with backoff and DLQ
Implement RetryScheduler.Submit(job) that runs jobs, retries failures at 1 s, 2 s, 4 s, 8 s with jitter, and moves a job to a dead-letter list after 4 failures. Jobs carry an idempotency key so a retry never double-sends.</t>
        </is>
      </c>
      <c r="X51" s="16" t="inlineStr">
        <is>
          <t>Medium</t>
        </is>
      </c>
    </row>
    <row r="52" ht="48" customHeight="1">
      <c r="A52" s="13" t="n">
        <v>51</v>
      </c>
      <c r="B52" s="14" t="n">
        <v>46343</v>
      </c>
      <c r="C52" s="13" t="inlineStr">
        <is>
          <t>Tue</t>
        </is>
      </c>
      <c r="D52" s="13" t="inlineStr">
        <is>
          <t>Office day</t>
        </is>
      </c>
      <c r="E52" s="13" t="n">
        <v>3</v>
      </c>
      <c r="F52" s="13" t="n">
        <v>8</v>
      </c>
      <c r="G52" s="13" t="inlineStr">
        <is>
          <t>Azure basics</t>
        </is>
      </c>
      <c r="H52" s="13" t="inlineStr">
        <is>
          <t>Dynamic programming</t>
        </is>
      </c>
      <c r="I52" s="13" t="inlineStr">
        <is>
          <t>Define dp[i] in words, write the recurrence, fix the base case, then optimise space.</t>
        </is>
      </c>
      <c r="J52" s="15" t="inlineStr">
        <is>
          <t>Longest Palindromic Substring</t>
        </is>
      </c>
      <c r="K52" s="16" t="inlineStr">
        <is>
          <t>Medium</t>
        </is>
      </c>
      <c r="L52" s="15" t="inlineStr">
        <is>
          <t>Decode Ways</t>
        </is>
      </c>
      <c r="M52" s="16" t="inlineStr">
        <is>
          <t>Medium</t>
        </is>
      </c>
      <c r="N52" s="15" t="inlineStr">
        <is>
          <t>Regular Expression Matching</t>
        </is>
      </c>
      <c r="O52" s="17" t="inlineStr">
        <is>
          <t>Hard</t>
        </is>
      </c>
      <c r="P52" s="13" t="inlineStr">
        <is>
          <t>Estimation practice on a real system</t>
        </is>
      </c>
      <c r="Q52" s="13" t="inlineStr">
        <is>
          <t>• Estimate a real system you use (e.g. WhatsApp) end to end
• QPS, storage, bandwidth, servers
• Say assumptions out loud</t>
        </is>
      </c>
      <c r="R52" s="13" t="inlineStr">
        <is>
          <t>Snake and Ladder LLD</t>
        </is>
      </c>
      <c r="S52" s="13" t="inlineStr">
        <is>
          <t>Azure: Azure subscriptions, resource groups, regions (vs AWS)</t>
        </is>
      </c>
      <c r="T52" s="13" t="inlineStr"/>
      <c r="U52" s="15" t="inlineStr">
        <is>
          <t>Fix Names in a Table</t>
        </is>
      </c>
      <c r="V52" s="18" t="inlineStr">
        <is>
          <t>Easy</t>
        </is>
      </c>
      <c r="W52" s="15" t="inlineStr">
        <is>
          <t>Apply Discount Every n Orders</t>
        </is>
      </c>
      <c r="X52" s="16" t="inlineStr">
        <is>
          <t>Medium</t>
        </is>
      </c>
    </row>
    <row r="53" ht="90" customHeight="1">
      <c r="A53" s="13" t="n">
        <v>52</v>
      </c>
      <c r="B53" s="14" t="n">
        <v>46344</v>
      </c>
      <c r="C53" s="13" t="inlineStr">
        <is>
          <t>Wed</t>
        </is>
      </c>
      <c r="D53" s="13" t="inlineStr">
        <is>
          <t>Office day</t>
        </is>
      </c>
      <c r="E53" s="13" t="n">
        <v>3</v>
      </c>
      <c r="F53" s="13" t="n">
        <v>8</v>
      </c>
      <c r="G53" s="13" t="inlineStr">
        <is>
          <t>Identity</t>
        </is>
      </c>
      <c r="H53" s="13" t="inlineStr">
        <is>
          <t>Dynamic programming</t>
        </is>
      </c>
      <c r="I53" s="13" t="inlineStr">
        <is>
          <t>Define dp[i] in words, write the recurrence, fix the base case, then optimise space.</t>
        </is>
      </c>
      <c r="J53" s="15" t="inlineStr">
        <is>
          <t>Word Break</t>
        </is>
      </c>
      <c r="K53" s="16" t="inlineStr">
        <is>
          <t>Medium</t>
        </is>
      </c>
      <c r="L53" s="15" t="inlineStr">
        <is>
          <t>Longest Increasing Subsequence</t>
        </is>
      </c>
      <c r="M53" s="16" t="inlineStr">
        <is>
          <t>Medium</t>
        </is>
      </c>
      <c r="N53" s="15" t="inlineStr">
        <is>
          <t>Russian Doll Envelopes</t>
        </is>
      </c>
      <c r="O53" s="17" t="inlineStr">
        <is>
          <t>Hard</t>
        </is>
      </c>
      <c r="P53" s="13" t="inlineStr">
        <is>
          <t>Design Pastebin</t>
        </is>
      </c>
      <c r="Q53" s="13" t="inlineStr">
        <is>
          <t>• Pastebin: write once, read many
• Object storage for content, DB for metadata
• Expiry, access control, caching</t>
        </is>
      </c>
      <c r="R53" s="13" t="inlineStr">
        <is>
          <t>Tic-Tac-Toe LLD</t>
        </is>
      </c>
      <c r="S53" s="13" t="inlineStr">
        <is>
          <t>Azure: Entra ID and RBAC (vs IAM)</t>
        </is>
      </c>
      <c r="T53" s="13" t="inlineStr"/>
      <c r="U53" s="15" t="inlineStr">
        <is>
          <t>Restaurant Growth</t>
        </is>
      </c>
      <c r="V53" s="16" t="inlineStr">
        <is>
          <t>Medium</t>
        </is>
      </c>
      <c r="W53" s="13" t="inlineStr">
        <is>
          <t>Paste store with expiry
Implement PasteStore.Create(text, ttl) returning a 7-character base62 id, Get(id) that returns null after expiry, and a background sweep. Ids must not collide; explain the collision math for 10 million pastes.</t>
        </is>
      </c>
      <c r="X53" s="18" t="inlineStr">
        <is>
          <t>Easy</t>
        </is>
      </c>
    </row>
    <row r="54" ht="90" customHeight="1">
      <c r="A54" s="13" t="n">
        <v>53</v>
      </c>
      <c r="B54" s="14" t="n">
        <v>46345</v>
      </c>
      <c r="C54" s="13" t="inlineStr">
        <is>
          <t>Thu</t>
        </is>
      </c>
      <c r="D54" s="13" t="inlineStr">
        <is>
          <t>Office day</t>
        </is>
      </c>
      <c r="E54" s="13" t="n">
        <v>3</v>
      </c>
      <c r="F54" s="13" t="n">
        <v>8</v>
      </c>
      <c r="G54" s="13" t="inlineStr">
        <is>
          <t>Compute</t>
        </is>
      </c>
      <c r="H54" s="13" t="inlineStr">
        <is>
          <t>Dynamic programming</t>
        </is>
      </c>
      <c r="I54" s="13" t="inlineStr">
        <is>
          <t>Define dp[i] in words, write the recurrence, fix the base case, then optimise space.</t>
        </is>
      </c>
      <c r="J54" s="15" t="inlineStr">
        <is>
          <t>Partition Equal Subset Sum</t>
        </is>
      </c>
      <c r="K54" s="16" t="inlineStr">
        <is>
          <t>Medium</t>
        </is>
      </c>
      <c r="L54" s="15" t="inlineStr">
        <is>
          <t>Maximum Product Subarray</t>
        </is>
      </c>
      <c r="M54" s="16" t="inlineStr">
        <is>
          <t>Medium</t>
        </is>
      </c>
      <c r="N54" s="15" t="inlineStr">
        <is>
          <t>Distinct Subsequences</t>
        </is>
      </c>
      <c r="O54" s="17" t="inlineStr">
        <is>
          <t>Hard</t>
        </is>
      </c>
      <c r="P54" s="13" t="inlineStr">
        <is>
          <t>Design a basic key-value store</t>
        </is>
      </c>
      <c r="Q54" s="13" t="inlineStr">
        <is>
          <t>• Key-value store API: get, put, delete with TTL
• Partitioning + replication + consistency level
• Hinted handoff and read repair (idea level)</t>
        </is>
      </c>
      <c r="R54" s="13" t="inlineStr">
        <is>
          <t>In-memory KV store with TTL</t>
        </is>
      </c>
      <c r="S54" s="13" t="inlineStr">
        <is>
          <t>Azure: Azure VMs, Scale Sets, Load Balancer (vs EC2/ASG/ELB)</t>
        </is>
      </c>
      <c r="T54" s="13" t="inlineStr"/>
      <c r="U54" s="15" t="inlineStr">
        <is>
          <t>Patients With a Condition</t>
        </is>
      </c>
      <c r="V54" s="18" t="inlineStr">
        <is>
          <t>Easy</t>
        </is>
      </c>
      <c r="W54" s="13" t="inlineStr">
        <is>
          <t>KV store with TTL and snapshots
Implement Kv.Put(key, value, ttl), Get(key), Delete(key), Snapshot() returning an id, and GetAt(key, snapshotId). Snapshots must be O(1) to take (copy-on-write or versioned values).</t>
        </is>
      </c>
      <c r="X54" s="16" t="inlineStr">
        <is>
          <t>Medium</t>
        </is>
      </c>
    </row>
    <row r="55" ht="48" customHeight="1">
      <c r="A55" s="13" t="n">
        <v>54</v>
      </c>
      <c r="B55" s="14" t="n">
        <v>46346</v>
      </c>
      <c r="C55" s="13" t="inlineStr">
        <is>
          <t>Fri</t>
        </is>
      </c>
      <c r="D55" s="13" t="inlineStr">
        <is>
          <t>Light Friday</t>
        </is>
      </c>
      <c r="E55" s="13" t="n">
        <v>3</v>
      </c>
      <c r="F55" s="13" t="n">
        <v>8</v>
      </c>
      <c r="G55" s="13" t="inlineStr">
        <is>
          <t>Storage</t>
        </is>
      </c>
      <c r="H55" s="13" t="inlineStr">
        <is>
          <t>Dynamic programming</t>
        </is>
      </c>
      <c r="I55" s="13" t="inlineStr">
        <is>
          <t>Define dp[i] in words, write the recurrence, fix the base case, then optimise space.</t>
        </is>
      </c>
      <c r="J55" s="15" t="inlineStr">
        <is>
          <t>Unique Paths</t>
        </is>
      </c>
      <c r="K55" s="16" t="inlineStr">
        <is>
          <t>Medium</t>
        </is>
      </c>
      <c r="L55" s="15" t="inlineStr">
        <is>
          <t>Longest Common Subsequence</t>
        </is>
      </c>
      <c r="M55" s="16" t="inlineStr">
        <is>
          <t>Medium</t>
        </is>
      </c>
      <c r="N55" s="15" t="inlineStr">
        <is>
          <t>Wildcard Matching</t>
        </is>
      </c>
      <c r="O55" s="17" t="inlineStr">
        <is>
          <t>Hard</t>
        </is>
      </c>
      <c r="P55" s="13" t="inlineStr">
        <is>
          <t>Revise caching + CDN</t>
        </is>
      </c>
      <c r="Q55" s="13" t="inlineStr">
        <is>
          <t>• Revise caching strategies and CDNs
• Re-draw cache-aside with invalidation
• Map CloudFront → Front Door</t>
        </is>
      </c>
      <c r="R55" s="13" t="inlineStr">
        <is>
          <t>Revise LRU</t>
        </is>
      </c>
      <c r="S55" s="13" t="inlineStr">
        <is>
          <t>Azure: Blob Storage + Front Door (vs S3/CloudFront)</t>
        </is>
      </c>
      <c r="T55" s="13" t="inlineStr"/>
      <c r="U55" s="15" t="inlineStr">
        <is>
          <t>Friend Requests II: Who Has the Most Friends</t>
        </is>
      </c>
      <c r="V55" s="16" t="inlineStr">
        <is>
          <t>Medium</t>
        </is>
      </c>
      <c r="W55" s="15" t="inlineStr">
        <is>
          <t>Design Memory Allocator</t>
        </is>
      </c>
      <c r="X55" s="16" t="inlineStr">
        <is>
          <t>Medium</t>
        </is>
      </c>
    </row>
    <row r="56" ht="90" customHeight="1">
      <c r="A56" s="13" t="n">
        <v>55</v>
      </c>
      <c r="B56" s="14" t="n">
        <v>46347</v>
      </c>
      <c r="C56" s="13" t="inlineStr">
        <is>
          <t>Sat</t>
        </is>
      </c>
      <c r="D56" s="13" t="inlineStr">
        <is>
          <t>Build Saturday</t>
        </is>
      </c>
      <c r="E56" s="13" t="n">
        <v>3</v>
      </c>
      <c r="F56" s="13" t="n">
        <v>8</v>
      </c>
      <c r="G56" s="13" t="inlineStr">
        <is>
          <t>Build: .NET on Azure</t>
        </is>
      </c>
      <c r="H56" s="13" t="inlineStr">
        <is>
          <t>Dynamic programming</t>
        </is>
      </c>
      <c r="I56" s="13" t="inlineStr">
        <is>
          <t>Define dp[i] in words, write the recurrence, fix the base case, then optimise space.</t>
        </is>
      </c>
      <c r="J56" s="15" t="inlineStr">
        <is>
          <t>Best Time to Buy and Sell Stock with Cooldown</t>
        </is>
      </c>
      <c r="K56" s="16" t="inlineStr">
        <is>
          <t>Medium</t>
        </is>
      </c>
      <c r="L56" s="15" t="inlineStr">
        <is>
          <t>Coin Change II</t>
        </is>
      </c>
      <c r="M56" s="16" t="inlineStr">
        <is>
          <t>Medium</t>
        </is>
      </c>
      <c r="N56" s="15" t="inlineStr">
        <is>
          <t>Best Time to Buy and Sell Stock III</t>
        </is>
      </c>
      <c r="O56" s="17" t="inlineStr">
        <is>
          <t>Hard</t>
        </is>
      </c>
      <c r="P56" s="13" t="inlineStr">
        <is>
          <t>Design a basic web crawler</t>
        </is>
      </c>
      <c r="Q56" s="13" t="inlineStr">
        <is>
          <t>• Web crawler: URL frontier, fetchers, parser, dedupe
• Politeness per domain, robots.txt
• Store content and follow links breadth-first</t>
        </is>
      </c>
      <c r="R56" s="13" t="inlineStr">
        <is>
          <t>Cache with pluggable eviction (LRU/LFU strategy)</t>
        </is>
      </c>
      <c r="S56" s="13" t="inlineStr">
        <is>
          <t>Azure: Deploy your .NET API to App Service + Azure PostgreSQL</t>
        </is>
      </c>
      <c r="T56" s="13" t="inlineStr"/>
      <c r="U56" s="15" t="inlineStr">
        <is>
          <t>Delete Duplicate Emails</t>
        </is>
      </c>
      <c r="V56" s="18" t="inlineStr">
        <is>
          <t>Easy</t>
        </is>
      </c>
      <c r="W56" s="13" t="inlineStr">
        <is>
          <t>Polite crawler frontier
Implement Frontier.Add(url) and Next(now) returning the next URL to fetch: breadth-first, each URL once (normalise it), and at most one request per domain every 2 seconds. Next returns null when every domain is cooling down.</t>
        </is>
      </c>
      <c r="X56" s="16" t="inlineStr">
        <is>
          <t>Medium</t>
        </is>
      </c>
    </row>
    <row r="57" ht="48" customHeight="1">
      <c r="A57" s="13" t="n">
        <v>56</v>
      </c>
      <c r="B57" s="14" t="n">
        <v>46348</v>
      </c>
      <c r="C57" s="13" t="inlineStr">
        <is>
          <t>Sun</t>
        </is>
      </c>
      <c r="D57" s="13" t="inlineStr">
        <is>
          <t>Review Sunday</t>
        </is>
      </c>
      <c r="E57" s="13" t="n">
        <v>3</v>
      </c>
      <c r="F57" s="13" t="n">
        <v>8</v>
      </c>
      <c r="G57" s="13" t="inlineStr">
        <is>
          <t>Review week 8</t>
        </is>
      </c>
      <c r="H57" s="13" t="inlineStr">
        <is>
          <t>Dynamic programming</t>
        </is>
      </c>
      <c r="I57" s="13" t="inlineStr">
        <is>
          <t>Define dp[i] in words, write the recurrence, fix the base case, then optimise space.</t>
        </is>
      </c>
      <c r="J57" s="15" t="inlineStr">
        <is>
          <t>Target Sum</t>
        </is>
      </c>
      <c r="K57" s="16" t="inlineStr">
        <is>
          <t>Medium</t>
        </is>
      </c>
      <c r="L57" s="15" t="inlineStr">
        <is>
          <t>Interleaving String</t>
        </is>
      </c>
      <c r="M57" s="16" t="inlineStr">
        <is>
          <t>Medium</t>
        </is>
      </c>
      <c r="N57" s="15" t="inlineStr">
        <is>
          <t>Longest Increasing Path in a Matrix</t>
        </is>
      </c>
      <c r="O57" s="17" t="inlineStr">
        <is>
          <t>Hard</t>
        </is>
      </c>
      <c r="P57" s="13" t="inlineStr">
        <is>
          <t>Revise Phase 3 so far</t>
        </is>
      </c>
      <c r="Q57" s="13" t="inlineStr">
        <is>
          <t>• Revise Phase 3 so far
• Re-draw KV store and crawler
• List weak spots</t>
        </is>
      </c>
      <c r="R57" s="13" t="inlineStr">
        <is>
          <t>Recap: KV store, eviction strategies</t>
        </is>
      </c>
      <c r="S57" s="13" t="inlineStr">
        <is>
          <t>Azure: Clean up Azure resources</t>
        </is>
      </c>
      <c r="T57" s="13" t="inlineStr"/>
      <c r="U57" s="13" t="inlineStr">
        <is>
          <t>Re-solve the SQL you found hardest this week</t>
        </is>
      </c>
      <c r="V57" s="19" t="inlineStr">
        <is>
          <t>Review</t>
        </is>
      </c>
      <c r="W57" s="13" t="inlineStr">
        <is>
          <t>Re-solve one design question from this week</t>
        </is>
      </c>
      <c r="X57" s="19" t="inlineStr">
        <is>
          <t>Review</t>
        </is>
      </c>
    </row>
    <row r="58" ht="90" customHeight="1">
      <c r="A58" s="13" t="n">
        <v>57</v>
      </c>
      <c r="B58" s="14" t="n">
        <v>46349</v>
      </c>
      <c r="C58" s="13" t="inlineStr">
        <is>
          <t>Mon</t>
        </is>
      </c>
      <c r="D58" s="13" t="inlineStr">
        <is>
          <t>Office day</t>
        </is>
      </c>
      <c r="E58" s="13" t="n">
        <v>3</v>
      </c>
      <c r="F58" s="13" t="n">
        <v>9</v>
      </c>
      <c r="G58" s="13" t="inlineStr">
        <is>
          <t>Distributed rate limiting</t>
        </is>
      </c>
      <c r="H58" s="13" t="inlineStr">
        <is>
          <t>Dynamic programming</t>
        </is>
      </c>
      <c r="I58" s="13" t="inlineStr">
        <is>
          <t>Define dp[i] in words, write the recurrence, fix the base case, then optimise space.</t>
        </is>
      </c>
      <c r="J58" s="15" t="inlineStr">
        <is>
          <t>Edit Distance</t>
        </is>
      </c>
      <c r="K58" s="16" t="inlineStr">
        <is>
          <t>Medium</t>
        </is>
      </c>
      <c r="L58" s="15" t="inlineStr">
        <is>
          <t>Maximal Square</t>
        </is>
      </c>
      <c r="M58" s="16" t="inlineStr">
        <is>
          <t>Medium</t>
        </is>
      </c>
      <c r="N58" s="15" t="inlineStr">
        <is>
          <t>Maximum Profit in Job Scheduling</t>
        </is>
      </c>
      <c r="O58" s="17" t="inlineStr">
        <is>
          <t>Hard</t>
        </is>
      </c>
      <c r="P58" s="13" t="inlineStr">
        <is>
          <t>Rate limiter v2 with Redis</t>
        </is>
      </c>
      <c r="Q58" s="13" t="inlineStr">
        <is>
          <t>• Distributed rate limiting with Redis INCR / sliding window
• Atomicity with Lua scripts
• Fail open vs fail closed</t>
        </is>
      </c>
      <c r="R58" s="13" t="inlineStr">
        <is>
          <t>Add sliding window to your rate limiter</t>
        </is>
      </c>
      <c r="S58" s="13" t="inlineStr">
        <is>
          <t>Azure: Azure Cache for Redis</t>
        </is>
      </c>
      <c r="T58" s="13" t="inlineStr"/>
      <c r="U58" s="15" t="inlineStr">
        <is>
          <t>Investments in 2016</t>
        </is>
      </c>
      <c r="V58" s="16" t="inlineStr">
        <is>
          <t>Medium</t>
        </is>
      </c>
      <c r="W58" s="13" t="inlineStr">
        <is>
          <t>Sliding-window-counter rate limiter
Implement RateLimiter.Allow(clientId, now) with the sliding window counter: current-minute count + previous-minute count x overlap. 100 requests per minute. Compare its error with a fixed window on a burst at the minute boundary.</t>
        </is>
      </c>
      <c r="X58" s="16" t="inlineStr">
        <is>
          <t>Medium</t>
        </is>
      </c>
    </row>
    <row r="59" ht="48" customHeight="1">
      <c r="A59" s="13" t="n">
        <v>58</v>
      </c>
      <c r="B59" s="14" t="n">
        <v>46350</v>
      </c>
      <c r="C59" s="13" t="inlineStr">
        <is>
          <t>Tue</t>
        </is>
      </c>
      <c r="D59" s="13" t="inlineStr">
        <is>
          <t>Office day</t>
        </is>
      </c>
      <c r="E59" s="13" t="n">
        <v>3</v>
      </c>
      <c r="F59" s="13" t="n">
        <v>9</v>
      </c>
      <c r="G59" s="13" t="inlineStr">
        <is>
          <t>Scheduling on Azure</t>
        </is>
      </c>
      <c r="H59" s="13" t="inlineStr">
        <is>
          <t>Backtracking</t>
        </is>
      </c>
      <c r="I59" s="13" t="inlineStr">
        <is>
          <t>Choose → explore → un-choose; prune early; sort first when duplicates must be skipped.</t>
        </is>
      </c>
      <c r="J59" s="15" t="inlineStr">
        <is>
          <t>Subsets</t>
        </is>
      </c>
      <c r="K59" s="16" t="inlineStr">
        <is>
          <t>Medium</t>
        </is>
      </c>
      <c r="L59" s="15" t="inlineStr">
        <is>
          <t>Combination Sum</t>
        </is>
      </c>
      <c r="M59" s="16" t="inlineStr">
        <is>
          <t>Medium</t>
        </is>
      </c>
      <c r="N59" s="15" t="inlineStr">
        <is>
          <t>N-Queens</t>
        </is>
      </c>
      <c r="O59" s="17" t="inlineStr">
        <is>
          <t>Hard</t>
        </is>
      </c>
      <c r="P59" s="13" t="inlineStr">
        <is>
          <t>Design a job scheduler</t>
        </is>
      </c>
      <c r="Q59" s="13" t="inlineStr">
        <is>
          <t>• Job scheduler: API, store, dispatcher, workers
• Exactly-once-ish with leases and idempotent jobs
• Retries, backoff, dead letters</t>
        </is>
      </c>
      <c r="R59" s="13" t="inlineStr">
        <is>
          <t>Task scheduler LLD: priority queue + Command</t>
        </is>
      </c>
      <c r="S59" s="13" t="inlineStr">
        <is>
          <t>Azure: Azure Functions + timer triggers (vs Lambda/EventBridge)</t>
        </is>
      </c>
      <c r="T59" s="13" t="inlineStr"/>
      <c r="U59" s="15" t="inlineStr">
        <is>
          <t>Group Sold Products By The Date</t>
        </is>
      </c>
      <c r="V59" s="18" t="inlineStr">
        <is>
          <t>Easy</t>
        </is>
      </c>
      <c r="W59" s="15" t="inlineStr">
        <is>
          <t>Smallest Number in Infinite Set</t>
        </is>
      </c>
      <c r="X59" s="16" t="inlineStr">
        <is>
          <t>Medium</t>
        </is>
      </c>
    </row>
    <row r="60" ht="90" customHeight="1">
      <c r="A60" s="13" t="n">
        <v>59</v>
      </c>
      <c r="B60" s="14" t="n">
        <v>46351</v>
      </c>
      <c r="C60" s="13" t="inlineStr">
        <is>
          <t>Wed</t>
        </is>
      </c>
      <c r="D60" s="13" t="inlineStr">
        <is>
          <t>Office day</t>
        </is>
      </c>
      <c r="E60" s="13" t="n">
        <v>3</v>
      </c>
      <c r="F60" s="13" t="n">
        <v>9</v>
      </c>
      <c r="G60" s="13" t="inlineStr">
        <is>
          <t>Event-driven</t>
        </is>
      </c>
      <c r="H60" s="13" t="inlineStr">
        <is>
          <t>Backtracking</t>
        </is>
      </c>
      <c r="I60" s="13" t="inlineStr">
        <is>
          <t>Choose → explore → un-choose; prune early; sort first when duplicates must be skipped.</t>
        </is>
      </c>
      <c r="J60" s="15" t="inlineStr">
        <is>
          <t>Permutations</t>
        </is>
      </c>
      <c r="K60" s="16" t="inlineStr">
        <is>
          <t>Medium</t>
        </is>
      </c>
      <c r="L60" s="15" t="inlineStr">
        <is>
          <t>Palindrome Partitioning</t>
        </is>
      </c>
      <c r="M60" s="16" t="inlineStr">
        <is>
          <t>Medium</t>
        </is>
      </c>
      <c r="N60" s="15" t="inlineStr">
        <is>
          <t>Sudoku Solver</t>
        </is>
      </c>
      <c r="O60" s="17" t="inlineStr">
        <is>
          <t>Hard</t>
        </is>
      </c>
      <c r="P60" s="13" t="inlineStr">
        <is>
          <t>Design an event-driven order system</t>
        </is>
      </c>
      <c r="Q60" s="13" t="inlineStr">
        <is>
          <t>• Order service emits events; payment, inventory and shipping react
• Saga pattern for multi-step transactions
• Outbox pattern to publish reliably</t>
        </is>
      </c>
      <c r="R60" s="13" t="inlineStr">
        <is>
          <t>Order management with State pattern</t>
        </is>
      </c>
      <c r="S60" s="13" t="inlineStr">
        <is>
          <t>Azure: Service Bus queues and topics (vs SQS/SNS)</t>
        </is>
      </c>
      <c r="T60" s="13" t="inlineStr"/>
      <c r="U60" s="15" t="inlineStr">
        <is>
          <t>Market Analysis I</t>
        </is>
      </c>
      <c r="V60" s="16" t="inlineStr">
        <is>
          <t>Medium</t>
        </is>
      </c>
      <c r="W60" s="13" t="inlineStr">
        <is>
          <t>Order state machine
Implement Order with states Created -&gt; Paid -&gt; Packed -&gt; Shipped -&gt; Delivered, plus Cancelled (only before Shipped) and Refunded (only after Paid). Invalid transitions throw. Every transition emits an event; replaying the events rebuilds the order.</t>
        </is>
      </c>
      <c r="X60" s="16" t="inlineStr">
        <is>
          <t>Medium</t>
        </is>
      </c>
    </row>
    <row r="61" ht="90" customHeight="1">
      <c r="A61" s="13" t="n">
        <v>60</v>
      </c>
      <c r="B61" s="14" t="n">
        <v>46352</v>
      </c>
      <c r="C61" s="13" t="inlineStr">
        <is>
          <t>Thu</t>
        </is>
      </c>
      <c r="D61" s="13" t="inlineStr">
        <is>
          <t>Office day</t>
        </is>
      </c>
      <c r="E61" s="13" t="n">
        <v>3</v>
      </c>
      <c r="F61" s="13" t="n">
        <v>9</v>
      </c>
      <c r="G61" s="13" t="inlineStr">
        <is>
          <t>File storage</t>
        </is>
      </c>
      <c r="H61" s="13" t="inlineStr">
        <is>
          <t>Backtracking</t>
        </is>
      </c>
      <c r="I61" s="13" t="inlineStr">
        <is>
          <t>Choose → explore → un-choose; prune early; sort first when duplicates must be skipped.</t>
        </is>
      </c>
      <c r="J61" s="15" t="inlineStr">
        <is>
          <t>Word Search</t>
        </is>
      </c>
      <c r="K61" s="16" t="inlineStr">
        <is>
          <t>Medium</t>
        </is>
      </c>
      <c r="L61" s="15" t="inlineStr">
        <is>
          <t>Letter Combinations of a Phone Number</t>
        </is>
      </c>
      <c r="M61" s="16" t="inlineStr">
        <is>
          <t>Medium</t>
        </is>
      </c>
      <c r="N61" s="15" t="inlineStr">
        <is>
          <t>Word Break II</t>
        </is>
      </c>
      <c r="O61" s="17" t="inlineStr">
        <is>
          <t>Hard</t>
        </is>
      </c>
      <c r="P61" s="13" t="inlineStr">
        <is>
          <t>Design Dropbox (basic)</t>
        </is>
      </c>
      <c r="Q61" s="13" t="inlineStr">
        <is>
          <t>• Dropbox: chunked upload, dedupe, sync
• Metadata DB vs block storage
• Conflict resolution across devices</t>
        </is>
      </c>
      <c r="R61" s="13" t="inlineStr">
        <is>
          <t>File system LLD with Composite pattern</t>
        </is>
      </c>
      <c r="S61" s="13" t="inlineStr">
        <is>
          <t>Azure: Storage accounts and SAS tokens</t>
        </is>
      </c>
      <c r="T61" s="13" t="inlineStr"/>
      <c r="U61" s="15" t="inlineStr">
        <is>
          <t>List the Products Ordered in a Period</t>
        </is>
      </c>
      <c r="V61" s="18" t="inlineStr">
        <is>
          <t>Easy</t>
        </is>
      </c>
      <c r="W61" s="13" t="inlineStr">
        <is>
          <t>In-memory file system
Implement FileSystem.Mkdir(path), Ls(path) (sorted names, or the file name for a file), AddContent(filePath, text) that appends, and ReadContent(filePath). Paths look like /a/b/c. Use the Composite idea: directories and files share a node type.</t>
        </is>
      </c>
      <c r="X61" s="16" t="inlineStr">
        <is>
          <t>Medium</t>
        </is>
      </c>
    </row>
    <row r="62" ht="90" customHeight="1">
      <c r="A62" s="13" t="n">
        <v>61</v>
      </c>
      <c r="B62" s="14" t="n">
        <v>46353</v>
      </c>
      <c r="C62" s="13" t="inlineStr">
        <is>
          <t>Fri</t>
        </is>
      </c>
      <c r="D62" s="13" t="inlineStr">
        <is>
          <t>Light Friday</t>
        </is>
      </c>
      <c r="E62" s="13" t="n">
        <v>3</v>
      </c>
      <c r="F62" s="13" t="n">
        <v>9</v>
      </c>
      <c r="G62" s="13" t="inlineStr">
        <is>
          <t>Monitoring</t>
        </is>
      </c>
      <c r="H62" s="13" t="inlineStr">
        <is>
          <t>Greedy</t>
        </is>
      </c>
      <c r="I62" s="13" t="inlineStr">
        <is>
          <t>Prove the local choice never hurts (exchange argument) before trusting it.</t>
        </is>
      </c>
      <c r="J62" s="15" t="inlineStr">
        <is>
          <t>Jump Game</t>
        </is>
      </c>
      <c r="K62" s="16" t="inlineStr">
        <is>
          <t>Medium</t>
        </is>
      </c>
      <c r="L62" s="15" t="inlineStr">
        <is>
          <t>Gas Station</t>
        </is>
      </c>
      <c r="M62" s="16" t="inlineStr">
        <is>
          <t>Medium</t>
        </is>
      </c>
      <c r="N62" s="15" t="inlineStr">
        <is>
          <t>Candy</t>
        </is>
      </c>
      <c r="O62" s="17" t="inlineStr">
        <is>
          <t>Hard</t>
        </is>
      </c>
      <c r="P62" s="13" t="inlineStr">
        <is>
          <t>Revise estimation</t>
        </is>
      </c>
      <c r="Q62" s="13" t="inlineStr">
        <is>
          <t>• Revise estimation
• Two quick estimates from memory
• Check your numbers against known systems</t>
        </is>
      </c>
      <c r="R62" s="13" t="inlineStr">
        <is>
          <t>Composite pattern recap</t>
        </is>
      </c>
      <c r="S62" s="13" t="inlineStr">
        <is>
          <t>Azure: Azure Monitor + App Insights (vs CloudWatch)</t>
        </is>
      </c>
      <c r="T62" s="13" t="inlineStr"/>
      <c r="U62" s="15" t="inlineStr">
        <is>
          <t>Tree Node</t>
        </is>
      </c>
      <c r="V62" s="16" t="inlineStr">
        <is>
          <t>Medium</t>
        </is>
      </c>
      <c r="W62" s="13" t="inlineStr">
        <is>
          <t>Error-rate alert
Implement Alerting.Record(ok, t) and ShouldAlert(t): alert when more than 5% of requests in the last 5 minutes failed and there were at least 100 requests, and do not alert again for 10 minutes after firing.</t>
        </is>
      </c>
      <c r="X62" s="18" t="inlineStr">
        <is>
          <t>Easy</t>
        </is>
      </c>
    </row>
    <row r="63" ht="48" customHeight="1">
      <c r="A63" s="13" t="n">
        <v>62</v>
      </c>
      <c r="B63" s="14" t="n">
        <v>46354</v>
      </c>
      <c r="C63" s="13" t="inlineStr">
        <is>
          <t>Sat</t>
        </is>
      </c>
      <c r="D63" s="13" t="inlineStr">
        <is>
          <t>Build Saturday</t>
        </is>
      </c>
      <c r="E63" s="13" t="n">
        <v>3</v>
      </c>
      <c r="F63" s="13" t="n">
        <v>9</v>
      </c>
      <c r="G63" s="13" t="inlineStr">
        <is>
          <t>Build: your project story</t>
        </is>
      </c>
      <c r="H63" s="13" t="inlineStr">
        <is>
          <t>Greedy</t>
        </is>
      </c>
      <c r="I63" s="13" t="inlineStr">
        <is>
          <t>Prove the local choice never hurts (exchange argument) before trusting it.</t>
        </is>
      </c>
      <c r="J63" s="15" t="inlineStr">
        <is>
          <t>Jump Game II</t>
        </is>
      </c>
      <c r="K63" s="16" t="inlineStr">
        <is>
          <t>Medium</t>
        </is>
      </c>
      <c r="L63" s="15" t="inlineStr">
        <is>
          <t>Partition Labels</t>
        </is>
      </c>
      <c r="M63" s="16" t="inlineStr">
        <is>
          <t>Medium</t>
        </is>
      </c>
      <c r="N63" s="15" t="inlineStr">
        <is>
          <t>Course Schedule III</t>
        </is>
      </c>
      <c r="O63" s="17" t="inlineStr">
        <is>
          <t>Hard</t>
        </is>
      </c>
      <c r="P63" s="13" t="inlineStr">
        <is>
          <t>Explain your traffic platform: data flow, queues, scale</t>
        </is>
      </c>
      <c r="Q63" s="13" t="inlineStr">
        <is>
          <t>• Tell your traffic platform story: data flow, queues, scale
• What you would change at 10x
• Practise the 5-minute version</t>
        </is>
      </c>
      <c r="R63" s="13" t="inlineStr">
        <is>
          <t>Timed mock: Parking Lot in 45 min</t>
        </is>
      </c>
      <c r="S63" s="13" t="inlineStr">
        <is>
          <t>Azure: Container Apps / AKS + ACR (vs ECS/ECR)</t>
        </is>
      </c>
      <c r="T63" s="13" t="inlineStr"/>
      <c r="U63" s="15" t="inlineStr">
        <is>
          <t>Find Users With Valid E-Mails</t>
        </is>
      </c>
      <c r="V63" s="18" t="inlineStr">
        <is>
          <t>Easy</t>
        </is>
      </c>
      <c r="W63" s="15" t="inlineStr">
        <is>
          <t>Frequency Tracker</t>
        </is>
      </c>
      <c r="X63" s="16" t="inlineStr">
        <is>
          <t>Medium</t>
        </is>
      </c>
    </row>
    <row r="64" ht="48" customHeight="1">
      <c r="A64" s="13" t="n">
        <v>63</v>
      </c>
      <c r="B64" s="14" t="n">
        <v>46355</v>
      </c>
      <c r="C64" s="13" t="inlineStr">
        <is>
          <t>Sun</t>
        </is>
      </c>
      <c r="D64" s="13" t="inlineStr">
        <is>
          <t>Review Sunday</t>
        </is>
      </c>
      <c r="E64" s="13" t="n">
        <v>3</v>
      </c>
      <c r="F64" s="13" t="n">
        <v>9</v>
      </c>
      <c r="G64" s="13" t="inlineStr">
        <is>
          <t>Review week 9</t>
        </is>
      </c>
      <c r="H64" s="13" t="inlineStr">
        <is>
          <t>Greedy</t>
        </is>
      </c>
      <c r="I64" s="13" t="inlineStr">
        <is>
          <t>Prove the local choice never hurts (exchange argument) before trusting it.</t>
        </is>
      </c>
      <c r="J64" s="15" t="inlineStr">
        <is>
          <t>Hand of Straights</t>
        </is>
      </c>
      <c r="K64" s="16" t="inlineStr">
        <is>
          <t>Medium</t>
        </is>
      </c>
      <c r="L64" s="15" t="inlineStr">
        <is>
          <t>Valid Parenthesis String</t>
        </is>
      </c>
      <c r="M64" s="16" t="inlineStr">
        <is>
          <t>Medium</t>
        </is>
      </c>
      <c r="N64" s="15" t="inlineStr">
        <is>
          <t>Patching Array</t>
        </is>
      </c>
      <c r="O64" s="17" t="inlineStr">
        <is>
          <t>Hard</t>
        </is>
      </c>
      <c r="P64" s="13" t="inlineStr">
        <is>
          <t>Revise all HLD case studies</t>
        </is>
      </c>
      <c r="Q64" s="13" t="inlineStr">
        <is>
          <t>• Revise all HLD case studies
• One template: requirements → estimate → API → data → design → scale
• List weak spots</t>
        </is>
      </c>
      <c r="R64" s="13" t="inlineStr">
        <is>
          <t>Recap: Composite, Command, State</t>
        </is>
      </c>
      <c r="S64" s="13" t="inlineStr">
        <is>
          <t>Azure: Clean up Azure resources</t>
        </is>
      </c>
      <c r="T64" s="13" t="inlineStr"/>
      <c r="U64" s="13" t="inlineStr">
        <is>
          <t>Re-solve the SQL you found hardest this week</t>
        </is>
      </c>
      <c r="V64" s="19" t="inlineStr">
        <is>
          <t>Review</t>
        </is>
      </c>
      <c r="W64" s="13" t="inlineStr">
        <is>
          <t>Re-solve one design question from this week</t>
        </is>
      </c>
      <c r="X64" s="19" t="inlineStr">
        <is>
          <t>Review</t>
        </is>
      </c>
    </row>
    <row r="65" ht="90" customHeight="1">
      <c r="A65" s="13" t="n">
        <v>64</v>
      </c>
      <c r="B65" s="14" t="n">
        <v>46356</v>
      </c>
      <c r="C65" s="13" t="inlineStr">
        <is>
          <t>Mon</t>
        </is>
      </c>
      <c r="D65" s="13" t="inlineStr">
        <is>
          <t>Office day</t>
        </is>
      </c>
      <c r="E65" s="13" t="n">
        <v>3</v>
      </c>
      <c r="F65" s="13" t="n">
        <v>10</v>
      </c>
      <c r="G65" s="13" t="inlineStr">
        <is>
          <t>Leaderboards</t>
        </is>
      </c>
      <c r="H65" s="13" t="inlineStr">
        <is>
          <t>Hashing</t>
        </is>
      </c>
      <c r="I65" s="13" t="inlineStr">
        <is>
          <t>Map each item to a canonical key (sorted string, pattern, count signature) and compare keys.</t>
        </is>
      </c>
      <c r="J65" s="15" t="inlineStr">
        <is>
          <t>Brick Wall</t>
        </is>
      </c>
      <c r="K65" s="16" t="inlineStr">
        <is>
          <t>Medium</t>
        </is>
      </c>
      <c r="L65" s="15" t="inlineStr">
        <is>
          <t>Find All Anagrams in a String</t>
        </is>
      </c>
      <c r="M65" s="16" t="inlineStr">
        <is>
          <t>Medium</t>
        </is>
      </c>
      <c r="N65" s="15" t="inlineStr">
        <is>
          <t>Longest Duplicate Substring</t>
        </is>
      </c>
      <c r="O65" s="17" t="inlineStr">
        <is>
          <t>Hard</t>
        </is>
      </c>
      <c r="P65" s="13" t="inlineStr">
        <is>
          <t>Design a leaderboard</t>
        </is>
      </c>
      <c r="Q65" s="13" t="inlineStr">
        <is>
          <t>• Leaderboard: Redis sorted sets
• Top-N and rank of a user
• Sharded leaderboards for huge scale</t>
        </is>
      </c>
      <c r="R65" s="13" t="inlineStr">
        <is>
          <t>Leaderboard LLD with sorted structures</t>
        </is>
      </c>
      <c r="S65" s="13" t="inlineStr">
        <is>
          <t>Azure: Cosmos DB and partition keys (vs DynamoDB)</t>
        </is>
      </c>
      <c r="T65" s="13" t="inlineStr"/>
      <c r="U65" s="15" t="inlineStr">
        <is>
          <t>Capital Gain/Loss</t>
        </is>
      </c>
      <c r="V65" s="16" t="inlineStr">
        <is>
          <t>Medium</t>
        </is>
      </c>
      <c r="W65" s="13" t="inlineStr">
        <is>
          <t>Leaderboard
Implement Leaderboard.AddScore(playerId, score) (adds to the total), Top(k) returning the sum of the top k scores, Rank(playerId) and Reset(playerId). Target O(log n) per update with a sorted structure.</t>
        </is>
      </c>
      <c r="X65" s="16" t="inlineStr">
        <is>
          <t>Medium</t>
        </is>
      </c>
    </row>
    <row r="66" ht="90" customHeight="1">
      <c r="A66" s="13" t="n">
        <v>65</v>
      </c>
      <c r="B66" s="14" t="n">
        <v>46357</v>
      </c>
      <c r="C66" s="13" t="inlineStr">
        <is>
          <t>Tue</t>
        </is>
      </c>
      <c r="D66" s="13" t="inlineStr">
        <is>
          <t>Office day</t>
        </is>
      </c>
      <c r="E66" s="13" t="n">
        <v>3</v>
      </c>
      <c r="F66" s="13" t="n">
        <v>10</v>
      </c>
      <c r="G66" s="13" t="inlineStr">
        <is>
          <t>Social feed</t>
        </is>
      </c>
      <c r="H66" s="13" t="inlineStr">
        <is>
          <t>Graphs (BFS / DFS / union-find)</t>
        </is>
      </c>
      <c r="I66" s="13" t="inlineStr">
        <is>
          <t>Grid or adjacency list; BFS for shortest steps, DFS for components, topo sort for dependencies.</t>
        </is>
      </c>
      <c r="J66" s="15" t="inlineStr">
        <is>
          <t>Is Graph Bipartite?</t>
        </is>
      </c>
      <c r="K66" s="16" t="inlineStr">
        <is>
          <t>Medium</t>
        </is>
      </c>
      <c r="L66" s="15" t="inlineStr">
        <is>
          <t>Evaluate Division</t>
        </is>
      </c>
      <c r="M66" s="16" t="inlineStr">
        <is>
          <t>Medium</t>
        </is>
      </c>
      <c r="N66" s="15" t="inlineStr">
        <is>
          <t>Reconstruct Itinerary</t>
        </is>
      </c>
      <c r="O66" s="17" t="inlineStr">
        <is>
          <t>Hard</t>
        </is>
      </c>
      <c r="P66" s="13" t="inlineStr">
        <is>
          <t>Design Instagram (upload + feed, basic)</t>
        </is>
      </c>
      <c r="Q66" s="13" t="inlineStr">
        <is>
          <t>• Instagram: upload pipeline + feed
• Fan-out on write vs on read, celebrity problem
• Media on CDN, metadata in DB</t>
        </is>
      </c>
      <c r="R66" s="13" t="inlineStr">
        <is>
          <t>Posts, followers, feed classes</t>
        </is>
      </c>
      <c r="S66" s="13" t="inlineStr">
        <is>
          <t>Azure: Event Grid (vs EventBridge)</t>
        </is>
      </c>
      <c r="T66" s="13" t="inlineStr"/>
      <c r="U66" s="15" t="inlineStr">
        <is>
          <t>Game Play Analysis I</t>
        </is>
      </c>
      <c r="V66" s="18" t="inlineStr">
        <is>
          <t>Easy</t>
        </is>
      </c>
      <c r="W66" s="13" t="inlineStr">
        <is>
          <t>Merged news feed
Given each followee's posts newest-first, implement Feed(userId, cursor, pageSize) that merges them newest-first with a heap and returns the next cursor, so page 2 continues exactly where page 1 stopped even if new posts arrive.</t>
        </is>
      </c>
      <c r="X66" s="16" t="inlineStr">
        <is>
          <t>Medium</t>
        </is>
      </c>
    </row>
    <row r="67" ht="90" customHeight="1">
      <c r="A67" s="13" t="n">
        <v>66</v>
      </c>
      <c r="B67" s="14" t="n">
        <v>46358</v>
      </c>
      <c r="C67" s="13" t="inlineStr">
        <is>
          <t>Wed</t>
        </is>
      </c>
      <c r="D67" s="13" t="inlineStr">
        <is>
          <t>Office day</t>
        </is>
      </c>
      <c r="E67" s="13" t="n">
        <v>3</v>
      </c>
      <c r="F67" s="13" t="n">
        <v>10</v>
      </c>
      <c r="G67" s="13" t="inlineStr">
        <is>
          <t>Messaging</t>
        </is>
      </c>
      <c r="H67" s="13" t="inlineStr">
        <is>
          <t>Design data structures</t>
        </is>
      </c>
      <c r="I67" s="13" t="inlineStr">
        <is>
          <t>Combine structures: HashMap for lookup + array/list for order or random access.</t>
        </is>
      </c>
      <c r="J67" s="15" t="inlineStr">
        <is>
          <t>Insert Delete GetRandom O(1)</t>
        </is>
      </c>
      <c r="K67" s="16" t="inlineStr">
        <is>
          <t>Medium</t>
        </is>
      </c>
      <c r="L67" s="15" t="inlineStr">
        <is>
          <t>Snapshot Array</t>
        </is>
      </c>
      <c r="M67" s="16" t="inlineStr">
        <is>
          <t>Medium</t>
        </is>
      </c>
      <c r="N67" s="15" t="inlineStr">
        <is>
          <t>Maximum Frequency Stack</t>
        </is>
      </c>
      <c r="O67" s="17" t="inlineStr">
        <is>
          <t>Hard</t>
        </is>
      </c>
      <c r="P67" s="13" t="inlineStr">
        <is>
          <t>Design WhatsApp: 1:1 messages, delivery ticks</t>
        </is>
      </c>
      <c r="Q67" s="13" t="inlineStr">
        <is>
          <t>• WhatsApp: persistent connections, message queue per user
• Sent / delivered / read ticks
• Offline delivery and end-to-end encryption (idea level)</t>
        </is>
      </c>
      <c r="R67" s="13" t="inlineStr">
        <is>
          <t>Message delivery states with State pattern</t>
        </is>
      </c>
      <c r="S67" s="13" t="inlineStr">
        <is>
          <t>Azure: Azure SignalR Service</t>
        </is>
      </c>
      <c r="T67" s="13" t="inlineStr"/>
      <c r="U67" s="15" t="inlineStr">
        <is>
          <t>Customer Placing the Largest Number of Orders</t>
        </is>
      </c>
      <c r="V67" s="18" t="inlineStr">
        <is>
          <t>Easy</t>
        </is>
      </c>
      <c r="W67" s="13" t="inlineStr">
        <is>
          <t>Message delivery states
Implement Delivery.Sent(msgId, recipients), Delivered(msgId, user), Read(msgId, user) and Status(msgId) returning single tick, double tick or blue ticks (all recipients read). Out-of-order events (Read before Delivered) must still end in the right state.</t>
        </is>
      </c>
      <c r="X67" s="16" t="inlineStr">
        <is>
          <t>Medium</t>
        </is>
      </c>
    </row>
    <row r="68" ht="90" customHeight="1">
      <c r="A68" s="13" t="n">
        <v>67</v>
      </c>
      <c r="B68" s="14" t="n">
        <v>46359</v>
      </c>
      <c r="C68" s="13" t="inlineStr">
        <is>
          <t>Thu</t>
        </is>
      </c>
      <c r="D68" s="13" t="inlineStr">
        <is>
          <t>Office day</t>
        </is>
      </c>
      <c r="E68" s="13" t="n">
        <v>3</v>
      </c>
      <c r="F68" s="13" t="n">
        <v>10</v>
      </c>
      <c r="G68" s="13" t="inlineStr">
        <is>
          <t>Video</t>
        </is>
      </c>
      <c r="H68" s="13" t="inlineStr">
        <is>
          <t>Arrays &amp; matrix</t>
        </is>
      </c>
      <c r="I68" s="13" t="inlineStr">
        <is>
          <t>In-place tricks: reverse segments, swap by index, use the first row/column as markers.</t>
        </is>
      </c>
      <c r="J68" s="15" t="inlineStr">
        <is>
          <t>Set Matrix Zeroes</t>
        </is>
      </c>
      <c r="K68" s="16" t="inlineStr">
        <is>
          <t>Medium</t>
        </is>
      </c>
      <c r="L68" s="15" t="inlineStr">
        <is>
          <t>Game of Life</t>
        </is>
      </c>
      <c r="M68" s="16" t="inlineStr">
        <is>
          <t>Medium</t>
        </is>
      </c>
      <c r="N68" s="15" t="inlineStr">
        <is>
          <t>Smallest Range Covering Elements from K Lists</t>
        </is>
      </c>
      <c r="O68" s="17" t="inlineStr">
        <is>
          <t>Hard</t>
        </is>
      </c>
      <c r="P68" s="13" t="inlineStr">
        <is>
          <t>Design YouTube (upload, transcode, stream; basic)</t>
        </is>
      </c>
      <c r="Q68" s="13" t="inlineStr">
        <is>
          <t>• YouTube: upload, transcode to many resolutions, stream via CDN
• Adaptive bitrate streaming
• Metadata, views counting, recommendations (idea level)</t>
        </is>
      </c>
      <c r="R68" s="13" t="inlineStr">
        <is>
          <t>Transcoding pipeline with Chain of Responsibility</t>
        </is>
      </c>
      <c r="S68" s="13" t="inlineStr">
        <is>
          <t>Azure: Blob + Functions processing pipeline</t>
        </is>
      </c>
      <c r="T68" s="13" t="inlineStr"/>
      <c r="U68" s="15" t="inlineStr">
        <is>
          <t>Sales Person</t>
        </is>
      </c>
      <c r="V68" s="18" t="inlineStr">
        <is>
          <t>Easy</t>
        </is>
      </c>
      <c r="W68" s="13" t="inlineStr">
        <is>
          <t>Deduplicated view counter
Implement Views.Record(videoId, userId, t) that counts a view at most once per user per video every 30 seconds, and Count(videoId). Then batch counts per minute before writing them, to show how YouTube-style counters avoid a DB write per view.</t>
        </is>
      </c>
      <c r="X68" s="16" t="inlineStr">
        <is>
          <t>Medium</t>
        </is>
      </c>
    </row>
    <row r="69" ht="48" customHeight="1">
      <c r="A69" s="13" t="n">
        <v>68</v>
      </c>
      <c r="B69" s="14" t="n">
        <v>46360</v>
      </c>
      <c r="C69" s="13" t="inlineStr">
        <is>
          <t>Fri</t>
        </is>
      </c>
      <c r="D69" s="13" t="inlineStr">
        <is>
          <t>Light Friday</t>
        </is>
      </c>
      <c r="E69" s="13" t="n">
        <v>3</v>
      </c>
      <c r="F69" s="13" t="n">
        <v>10</v>
      </c>
      <c r="G69" s="13" t="inlineStr">
        <is>
          <t>Cheat sheets</t>
        </is>
      </c>
      <c r="H69" s="13" t="inlineStr">
        <is>
          <t>Math &amp; strings</t>
        </is>
      </c>
      <c r="I69" s="13" t="inlineStr">
        <is>
          <t>Handle signs, overflow and edge characters first; build results digit by digit.</t>
        </is>
      </c>
      <c r="J69" s="15" t="inlineStr">
        <is>
          <t>String to Integer (atoi)</t>
        </is>
      </c>
      <c r="K69" s="16" t="inlineStr">
        <is>
          <t>Medium</t>
        </is>
      </c>
      <c r="L69" s="15" t="inlineStr">
        <is>
          <t>Multiply Strings</t>
        </is>
      </c>
      <c r="M69" s="16" t="inlineStr">
        <is>
          <t>Medium</t>
        </is>
      </c>
      <c r="N69" s="15" t="inlineStr">
        <is>
          <t>Text Justification</t>
        </is>
      </c>
      <c r="O69" s="17" t="inlineStr">
        <is>
          <t>Hard</t>
        </is>
      </c>
      <c r="P69" s="13" t="inlineStr">
        <is>
          <t>One-page template for any HLD answer</t>
        </is>
      </c>
      <c r="Q69" s="13" t="inlineStr">
        <is>
          <t>• One-page HLD answer template
• Checklist: requirements, numbers, API, schema, diagram, bottlenecks
• Practise it on one random system</t>
        </is>
      </c>
      <c r="R69" s="13" t="inlineStr">
        <is>
          <t>One-page pattern cheat sheet</t>
        </is>
      </c>
      <c r="S69" s="13" t="inlineStr">
        <is>
          <t>Azure: AZ-900 practice test</t>
        </is>
      </c>
      <c r="T69" s="13" t="inlineStr"/>
      <c r="U69" s="15" t="inlineStr">
        <is>
          <t>User Activity for the Past 30 Days I</t>
        </is>
      </c>
      <c r="V69" s="18" t="inlineStr">
        <is>
          <t>Easy</t>
        </is>
      </c>
      <c r="W69" s="15" t="inlineStr">
        <is>
          <t>Design Front Middle Back Queue</t>
        </is>
      </c>
      <c r="X69" s="16" t="inlineStr">
        <is>
          <t>Medium</t>
        </is>
      </c>
    </row>
    <row r="70" ht="90" customHeight="1">
      <c r="A70" s="13" t="n">
        <v>69</v>
      </c>
      <c r="B70" s="14" t="n">
        <v>46361</v>
      </c>
      <c r="C70" s="13" t="inlineStr">
        <is>
          <t>Sat</t>
        </is>
      </c>
      <c r="D70" s="13" t="inlineStr">
        <is>
          <t>Build Saturday</t>
        </is>
      </c>
      <c r="E70" s="13" t="n">
        <v>3</v>
      </c>
      <c r="F70" s="13" t="n">
        <v>10</v>
      </c>
      <c r="G70" s="13" t="inlineStr">
        <is>
          <t>Build: mocks</t>
        </is>
      </c>
      <c r="H70" s="13" t="inlineStr">
        <is>
          <t>Kadane / subarrays</t>
        </is>
      </c>
      <c r="I70" s="13" t="inlineStr">
        <is>
          <t>Best subarray ending here = max(x, best_ending_prev + x); keep a running global best.</t>
        </is>
      </c>
      <c r="J70" s="15" t="inlineStr">
        <is>
          <t>Maximum Subarray</t>
        </is>
      </c>
      <c r="K70" s="16" t="inlineStr">
        <is>
          <t>Medium</t>
        </is>
      </c>
      <c r="L70" s="15" t="inlineStr">
        <is>
          <t>Maximum Sum Circular Subarray</t>
        </is>
      </c>
      <c r="M70" s="16" t="inlineStr">
        <is>
          <t>Medium</t>
        </is>
      </c>
      <c r="N70" s="15" t="inlineStr">
        <is>
          <t>Max Sum of Rectangle No Larger Than K</t>
        </is>
      </c>
      <c r="O70" s="17" t="inlineStr">
        <is>
          <t>Hard</t>
        </is>
      </c>
      <c r="P70" s="13" t="inlineStr">
        <is>
          <t>Timed mock: design Uber (basic), out loud</t>
        </is>
      </c>
      <c r="Q70" s="13" t="inlineStr">
        <is>
          <t>• Timed mock: Uber basic, out loud, 45 min
• Location updates, matching, trip state
• Record and review one weak moment</t>
        </is>
      </c>
      <c r="R70" s="13" t="inlineStr">
        <is>
          <t>Timed mock: Elevator in 45 min</t>
        </is>
      </c>
      <c r="S70" s="13" t="inlineStr">
        <is>
          <t>Azure: GitHub Actions → App Service</t>
        </is>
      </c>
      <c r="T70" s="13" t="inlineStr"/>
      <c r="U70" s="15" t="inlineStr">
        <is>
          <t>Top Travellers</t>
        </is>
      </c>
      <c r="V70" s="18" t="inlineStr">
        <is>
          <t>Easy</t>
        </is>
      </c>
      <c r="W70" s="13" t="inlineStr">
        <is>
          <t>Nearest drivers
Implement Drivers.Update(driverId, lat, lng) and Nearest(lat, lng, k) using grid cells (like geohash buckets): look in the rider's cell, then the ring around it, until k drivers are found. Compare with scanning every driver.</t>
        </is>
      </c>
      <c r="X70" s="16" t="inlineStr">
        <is>
          <t>Medium</t>
        </is>
      </c>
    </row>
    <row r="71" ht="48" customHeight="1">
      <c r="A71" s="13" t="n">
        <v>70</v>
      </c>
      <c r="B71" s="14" t="n">
        <v>46362</v>
      </c>
      <c r="C71" s="13" t="inlineStr">
        <is>
          <t>Sun</t>
        </is>
      </c>
      <c r="D71" s="13" t="inlineStr">
        <is>
          <t>Review Sunday</t>
        </is>
      </c>
      <c r="E71" s="13" t="n">
        <v>3</v>
      </c>
      <c r="F71" s="13" t="n">
        <v>10</v>
      </c>
      <c r="G71" s="13" t="inlineStr">
        <is>
          <t>Review week 10</t>
        </is>
      </c>
      <c r="H71" s="13" t="inlineStr">
        <is>
          <t>Math &amp; strings</t>
        </is>
      </c>
      <c r="I71" s="13" t="inlineStr">
        <is>
          <t>Handle signs, overflow and edge characters first; build results digit by digit.</t>
        </is>
      </c>
      <c r="J71" s="15" t="inlineStr">
        <is>
          <t>Integer to Roman</t>
        </is>
      </c>
      <c r="K71" s="16" t="inlineStr">
        <is>
          <t>Medium</t>
        </is>
      </c>
      <c r="L71" s="15" t="inlineStr">
        <is>
          <t>Pow(x, n)</t>
        </is>
      </c>
      <c r="M71" s="16" t="inlineStr">
        <is>
          <t>Medium</t>
        </is>
      </c>
      <c r="N71" s="15" t="inlineStr">
        <is>
          <t>Integer to English Words</t>
        </is>
      </c>
      <c r="O71" s="17" t="inlineStr">
        <is>
          <t>Hard</t>
        </is>
      </c>
      <c r="P71" s="13" t="inlineStr">
        <is>
          <t>Revise weak areas from mocks</t>
        </is>
      </c>
      <c r="Q71" s="13" t="inlineStr">
        <is>
          <t>• Revise weak areas from the mocks
• Redo one mock question in 20 minutes
• List final gaps</t>
        </is>
      </c>
      <c r="R71" s="13" t="inlineStr">
        <is>
          <t>Revise weak areas from mocks</t>
        </is>
      </c>
      <c r="S71" s="13" t="inlineStr">
        <is>
          <t>Azure: Clean up Azure resources</t>
        </is>
      </c>
      <c r="T71" s="13" t="inlineStr"/>
      <c r="U71" s="13" t="inlineStr">
        <is>
          <t>Re-solve the SQL you found hardest this week</t>
        </is>
      </c>
      <c r="V71" s="19" t="inlineStr">
        <is>
          <t>Review</t>
        </is>
      </c>
      <c r="W71" s="13" t="inlineStr">
        <is>
          <t>Re-solve one design question from this week</t>
        </is>
      </c>
      <c r="X71" s="19" t="inlineStr">
        <is>
          <t>Review</t>
        </is>
      </c>
    </row>
    <row r="72" ht="48" customHeight="1">
      <c r="A72" s="13" t="n">
        <v>71</v>
      </c>
      <c r="B72" s="14" t="n">
        <v>46363</v>
      </c>
      <c r="C72" s="13" t="inlineStr">
        <is>
          <t>Mon</t>
        </is>
      </c>
      <c r="D72" s="13" t="inlineStr">
        <is>
          <t>Office day</t>
        </is>
      </c>
      <c r="E72" s="13" t="n">
        <v>3</v>
      </c>
      <c r="F72" s="13" t="n">
        <v>11</v>
      </c>
      <c r="G72" s="13" t="inlineStr">
        <is>
          <t>Payments</t>
        </is>
      </c>
      <c r="H72" s="13" t="inlineStr">
        <is>
          <t>Hashing</t>
        </is>
      </c>
      <c r="I72" s="13" t="inlineStr">
        <is>
          <t>Map each item to a canonical key (sorted string, pattern, count signature) and compare keys.</t>
        </is>
      </c>
      <c r="J72" s="15" t="inlineStr">
        <is>
          <t>4Sum II</t>
        </is>
      </c>
      <c r="K72" s="16" t="inlineStr">
        <is>
          <t>Medium</t>
        </is>
      </c>
      <c r="L72" s="15" t="inlineStr">
        <is>
          <t>Longest Palindrome by Concatenating Two Letter Words</t>
        </is>
      </c>
      <c r="M72" s="16" t="inlineStr">
        <is>
          <t>Medium</t>
        </is>
      </c>
      <c r="N72" s="15" t="inlineStr">
        <is>
          <t>Substring with Largest Variance</t>
        </is>
      </c>
      <c r="O72" s="17" t="inlineStr">
        <is>
          <t>Hard</t>
        </is>
      </c>
      <c r="P72" s="13" t="inlineStr">
        <is>
          <t>Design a payment system: idempotency, retries</t>
        </is>
      </c>
      <c r="Q72" s="13" t="inlineStr">
        <is>
          <t>• Payments: idempotency keys, retries, reconciliation
• State machine: created → authorised → captured → refunded
• Never lose or double-charge money</t>
        </is>
      </c>
      <c r="R72" s="13" t="inlineStr">
        <is>
          <t>Payment module: Strategy for payment methods</t>
        </is>
      </c>
      <c r="S72" s="13" t="inlineStr">
        <is>
          <t>Azure: Key Vault (vs Secrets Manager)</t>
        </is>
      </c>
      <c r="T72" s="13" t="inlineStr"/>
      <c r="U72" s="15" t="inlineStr">
        <is>
          <t>Article Views I</t>
        </is>
      </c>
      <c r="V72" s="18" t="inlineStr">
        <is>
          <t>Easy</t>
        </is>
      </c>
      <c r="W72" s="15" t="inlineStr">
        <is>
          <t>Simple Bank System</t>
        </is>
      </c>
      <c r="X72" s="16" t="inlineStr">
        <is>
          <t>Medium</t>
        </is>
      </c>
    </row>
    <row r="73" ht="48" customHeight="1">
      <c r="A73" s="13" t="n">
        <v>72</v>
      </c>
      <c r="B73" s="14" t="n">
        <v>46364</v>
      </c>
      <c r="C73" s="13" t="inlineStr">
        <is>
          <t>Tue</t>
        </is>
      </c>
      <c r="D73" s="13" t="inlineStr">
        <is>
          <t>Office day</t>
        </is>
      </c>
      <c r="E73" s="13" t="n">
        <v>3</v>
      </c>
      <c r="F73" s="13" t="n">
        <v>11</v>
      </c>
      <c r="G73" s="13" t="inlineStr">
        <is>
          <t>Booking</t>
        </is>
      </c>
      <c r="H73" s="13" t="inlineStr">
        <is>
          <t>Graphs (BFS / DFS / union-find)</t>
        </is>
      </c>
      <c r="I73" s="13" t="inlineStr">
        <is>
          <t>Grid or adjacency list; BFS for shortest steps, DFS for components, topo sort for dependencies.</t>
        </is>
      </c>
      <c r="J73" s="15" t="inlineStr">
        <is>
          <t>Reorder Routes to Make All Paths Lead to the City Zero</t>
        </is>
      </c>
      <c r="K73" s="16" t="inlineStr">
        <is>
          <t>Medium</t>
        </is>
      </c>
      <c r="L73" s="15" t="inlineStr">
        <is>
          <t>Keys and Rooms</t>
        </is>
      </c>
      <c r="M73" s="16" t="inlineStr">
        <is>
          <t>Medium</t>
        </is>
      </c>
      <c r="N73" s="15" t="inlineStr">
        <is>
          <t>Minimum Cost to Make at Least One Valid Path in a Grid</t>
        </is>
      </c>
      <c r="O73" s="17" t="inlineStr">
        <is>
          <t>Hard</t>
        </is>
      </c>
      <c r="P73" s="13" t="inlineStr">
        <is>
          <t>Design a ticket booking system</t>
        </is>
      </c>
      <c r="Q73" s="13" t="inlineStr">
        <is>
          <t>• Ticket booking: seat map, temporary holds, payment
• Locking seats with expiry
• Handling a flash sale</t>
        </is>
      </c>
      <c r="R73" s="13" t="inlineStr">
        <is>
          <t>Timed mock: BookMyShow</t>
        </is>
      </c>
      <c r="S73" s="13" t="inlineStr">
        <is>
          <t>Azure: Azure PostgreSQL Flexible Server (vs RDS)</t>
        </is>
      </c>
      <c r="T73" s="13" t="inlineStr"/>
      <c r="U73" s="15" t="inlineStr">
        <is>
          <t>Invalid Tweets</t>
        </is>
      </c>
      <c r="V73" s="18" t="inlineStr">
        <is>
          <t>Easy</t>
        </is>
      </c>
      <c r="W73" s="15" t="inlineStr">
        <is>
          <t>My Calendar I</t>
        </is>
      </c>
      <c r="X73" s="16" t="inlineStr">
        <is>
          <t>Medium</t>
        </is>
      </c>
    </row>
    <row r="74" ht="90" customHeight="1">
      <c r="A74" s="13" t="n">
        <v>73</v>
      </c>
      <c r="B74" s="14" t="n">
        <v>46365</v>
      </c>
      <c r="C74" s="13" t="inlineStr">
        <is>
          <t>Wed</t>
        </is>
      </c>
      <c r="D74" s="13" t="inlineStr">
        <is>
          <t>Office day</t>
        </is>
      </c>
      <c r="E74" s="13" t="n">
        <v>3</v>
      </c>
      <c r="F74" s="13" t="n">
        <v>11</v>
      </c>
      <c r="G74" s="13" t="inlineStr">
        <is>
          <t>Mock day</t>
        </is>
      </c>
      <c r="H74" s="13" t="inlineStr">
        <is>
          <t>Mixed interview set (LeetCode 75)</t>
        </is>
      </c>
      <c r="I74" s="13" t="inlineStr">
        <is>
          <t>Name the pattern in the first 2 minutes, say the brute force, then optimise out loud.</t>
        </is>
      </c>
      <c r="J74" s="15" t="inlineStr">
        <is>
          <t>Increasing Triplet Subsequence</t>
        </is>
      </c>
      <c r="K74" s="16" t="inlineStr">
        <is>
          <t>Medium</t>
        </is>
      </c>
      <c r="L74" s="15" t="inlineStr">
        <is>
          <t>Max Number of K-Sum Pairs</t>
        </is>
      </c>
      <c r="M74" s="16" t="inlineStr">
        <is>
          <t>Medium</t>
        </is>
      </c>
      <c r="N74" s="15" t="inlineStr">
        <is>
          <t>Sliding Puzzle</t>
        </is>
      </c>
      <c r="O74" s="17" t="inlineStr">
        <is>
          <t>Hard</t>
        </is>
      </c>
      <c r="P74" s="13" t="inlineStr">
        <is>
          <t>Timed mock: URL shortener</t>
        </is>
      </c>
      <c r="Q74" s="13" t="inlineStr">
        <is>
          <t>• Timed mock: URL shortener, 35 min
• Hit every section of your template
• Score yourself 1-5 per section</t>
        </is>
      </c>
      <c r="R74" s="13" t="inlineStr">
        <is>
          <t>Timed mock: Splitwise</t>
        </is>
      </c>
      <c r="S74" s="13" t="inlineStr">
        <is>
          <t>Azure: VNet and NSG (vs VPC and security groups)</t>
        </is>
      </c>
      <c r="T74" s="13" t="inlineStr"/>
      <c r="U74" s="15" t="inlineStr">
        <is>
          <t>Product Sales Analysis I</t>
        </is>
      </c>
      <c r="V74" s="18" t="inlineStr">
        <is>
          <t>Easy</t>
        </is>
      </c>
      <c r="W74" s="13" t="inlineStr">
        <is>
          <t>Short-code generator
Implement Base62.Encode(long id) and Decode(string code), then IdGenerator.Next() that never repeats across 3 app servers (each owns a range, refilled in blocks of 1,000). This is the core of the URL shortener mock.</t>
        </is>
      </c>
      <c r="X74" s="18" t="inlineStr">
        <is>
          <t>Easy</t>
        </is>
      </c>
    </row>
    <row r="75" ht="48" customHeight="1">
      <c r="A75" s="13" t="n">
        <v>74</v>
      </c>
      <c r="B75" s="14" t="n">
        <v>46366</v>
      </c>
      <c r="C75" s="13" t="inlineStr">
        <is>
          <t>Thu</t>
        </is>
      </c>
      <c r="D75" s="13" t="inlineStr">
        <is>
          <t>Office day</t>
        </is>
      </c>
      <c r="E75" s="13" t="n">
        <v>3</v>
      </c>
      <c r="F75" s="13" t="n">
        <v>11</v>
      </c>
      <c r="G75" s="13" t="inlineStr">
        <is>
          <t>Tell your story</t>
        </is>
      </c>
      <c r="H75" s="13" t="inlineStr">
        <is>
          <t>Mixed interview set (LeetCode 75)</t>
        </is>
      </c>
      <c r="I75" s="13" t="inlineStr">
        <is>
          <t>Name the pattern in the first 2 minutes, say the brute force, then optimise out loud.</t>
        </is>
      </c>
      <c r="J75" s="15" t="inlineStr">
        <is>
          <t>String Compression</t>
        </is>
      </c>
      <c r="K75" s="16" t="inlineStr">
        <is>
          <t>Medium</t>
        </is>
      </c>
      <c r="L75" s="15" t="inlineStr">
        <is>
          <t>Longest Subarray of 1's After Deleting One Element</t>
        </is>
      </c>
      <c r="M75" s="16" t="inlineStr">
        <is>
          <t>Medium</t>
        </is>
      </c>
      <c r="N75" s="15" t="inlineStr">
        <is>
          <t>Minimum Cost to Hire K Workers</t>
        </is>
      </c>
      <c r="O75" s="17" t="inlineStr">
        <is>
          <t>Hard</t>
        </is>
      </c>
      <c r="P75" s="13" t="inlineStr">
        <is>
          <t>Explain your project in 5 min; record yourself</t>
        </is>
      </c>
      <c r="Q75" s="13" t="inlineStr">
        <is>
          <t>• Tell your project story in 5 minutes; record it
• Problem → design → your part → impact numbers
• Prepare 3 follow-up answers</t>
        </is>
      </c>
      <c r="R75" s="13" t="inlineStr">
        <is>
          <t>Explain design choices in your own codebase</t>
        </is>
      </c>
      <c r="S75" s="13" t="inlineStr">
        <is>
          <t>Azure: Build an AWS ↔ Azure mapping table</t>
        </is>
      </c>
      <c r="T75" s="13" t="inlineStr"/>
      <c r="U75" s="15" t="inlineStr">
        <is>
          <t>Swap Sex of Employees</t>
        </is>
      </c>
      <c r="V75" s="18" t="inlineStr">
        <is>
          <t>Easy</t>
        </is>
      </c>
      <c r="W75" s="15" t="inlineStr">
        <is>
          <t>Design a Food Rating System</t>
        </is>
      </c>
      <c r="X75" s="16" t="inlineStr">
        <is>
          <t>Medium</t>
        </is>
      </c>
    </row>
    <row r="76" ht="62" customHeight="1">
      <c r="A76" s="13" t="n">
        <v>75</v>
      </c>
      <c r="B76" s="14" t="n">
        <v>46367</v>
      </c>
      <c r="C76" s="13" t="inlineStr">
        <is>
          <t>Fri</t>
        </is>
      </c>
      <c r="D76" s="13" t="inlineStr">
        <is>
          <t>Light Friday</t>
        </is>
      </c>
      <c r="E76" s="13" t="n">
        <v>3</v>
      </c>
      <c r="F76" s="13" t="n">
        <v>11</v>
      </c>
      <c r="G76" s="13" t="inlineStr">
        <is>
          <t>Day 75: finish line</t>
        </is>
      </c>
      <c r="H76" s="13" t="inlineStr">
        <is>
          <t>Mixed interview set (LeetCode 75)</t>
        </is>
      </c>
      <c r="I76" s="13" t="inlineStr">
        <is>
          <t>Name the pattern in the first 2 minutes, say the brute force, then optimise out loud.</t>
        </is>
      </c>
      <c r="J76" s="15" t="inlineStr">
        <is>
          <t>Removing Stars From a String</t>
        </is>
      </c>
      <c r="K76" s="16" t="inlineStr">
        <is>
          <t>Medium</t>
        </is>
      </c>
      <c r="L76" s="15" t="inlineStr">
        <is>
          <t>Successful Pairs of Spells and Potions</t>
        </is>
      </c>
      <c r="M76" s="16" t="inlineStr">
        <is>
          <t>Medium</t>
        </is>
      </c>
      <c r="N76" s="15" t="inlineStr">
        <is>
          <t>Trapping Rain Water II</t>
        </is>
      </c>
      <c r="O76" s="17" t="inlineStr">
        <is>
          <t>Hard</t>
        </is>
      </c>
      <c r="P76" s="13" t="inlineStr">
        <is>
          <t>Final mock: notification system</t>
        </is>
      </c>
      <c r="Q76" s="13" t="inlineStr">
        <is>
          <t>• Final mock: notification system
• Final LLD mock: Parking Lot
• Write what you will keep doing after Day 75</t>
        </is>
      </c>
      <c r="R76" s="13" t="inlineStr">
        <is>
          <t>Final mock: Parking Lot</t>
        </is>
      </c>
      <c r="S76" s="13" t="inlineStr">
        <is>
          <t>Azure: Write resume bullets for your cloud projects</t>
        </is>
      </c>
      <c r="T76" s="13" t="inlineStr">
        <is>
          <t>• Two timed mocks (HLD + LLD) completed and scored
• 225 LeetCode problems attempted; every ↻ revisit re-solved
• Project story recorded in 5 minutes
• Resume bullets written for AWS and Azure projects</t>
        </is>
      </c>
      <c r="U76" s="15" t="inlineStr">
        <is>
          <t>Actors and Directors Who Cooperated At Least Three Times</t>
        </is>
      </c>
      <c r="V76" s="18" t="inlineStr">
        <is>
          <t>Easy</t>
        </is>
      </c>
      <c r="W76" s="15" t="inlineStr">
        <is>
          <t>My Calendar II</t>
        </is>
      </c>
      <c r="X76" s="16" t="inlineStr">
        <is>
          <t>Medium</t>
        </is>
      </c>
    </row>
  </sheetData>
  <autoFilter ref="A1:X76"/>
  <hyperlinks>
    <hyperlink xmlns:r="http://schemas.openxmlformats.org/officeDocument/2006/relationships" ref="J2" r:id="rId1"/>
    <hyperlink xmlns:r="http://schemas.openxmlformats.org/officeDocument/2006/relationships" ref="L2" r:id="rId2"/>
    <hyperlink xmlns:r="http://schemas.openxmlformats.org/officeDocument/2006/relationships" ref="N2" r:id="rId3"/>
    <hyperlink xmlns:r="http://schemas.openxmlformats.org/officeDocument/2006/relationships" ref="U2" r:id="rId4"/>
    <hyperlink xmlns:r="http://schemas.openxmlformats.org/officeDocument/2006/relationships" ref="W2" r:id="rId5"/>
    <hyperlink xmlns:r="http://schemas.openxmlformats.org/officeDocument/2006/relationships" ref="J3" r:id="rId6"/>
    <hyperlink xmlns:r="http://schemas.openxmlformats.org/officeDocument/2006/relationships" ref="L3" r:id="rId7"/>
    <hyperlink xmlns:r="http://schemas.openxmlformats.org/officeDocument/2006/relationships" ref="N3" r:id="rId8"/>
    <hyperlink xmlns:r="http://schemas.openxmlformats.org/officeDocument/2006/relationships" ref="U3" r:id="rId9"/>
    <hyperlink xmlns:r="http://schemas.openxmlformats.org/officeDocument/2006/relationships" ref="W3" r:id="rId10"/>
    <hyperlink xmlns:r="http://schemas.openxmlformats.org/officeDocument/2006/relationships" ref="J4" r:id="rId11"/>
    <hyperlink xmlns:r="http://schemas.openxmlformats.org/officeDocument/2006/relationships" ref="L4" r:id="rId12"/>
    <hyperlink xmlns:r="http://schemas.openxmlformats.org/officeDocument/2006/relationships" ref="N4" r:id="rId13"/>
    <hyperlink xmlns:r="http://schemas.openxmlformats.org/officeDocument/2006/relationships" ref="U4" r:id="rId14"/>
    <hyperlink xmlns:r="http://schemas.openxmlformats.org/officeDocument/2006/relationships" ref="W4" r:id="rId15"/>
    <hyperlink xmlns:r="http://schemas.openxmlformats.org/officeDocument/2006/relationships" ref="J5" r:id="rId16"/>
    <hyperlink xmlns:r="http://schemas.openxmlformats.org/officeDocument/2006/relationships" ref="L5" r:id="rId17"/>
    <hyperlink xmlns:r="http://schemas.openxmlformats.org/officeDocument/2006/relationships" ref="N5" r:id="rId18"/>
    <hyperlink xmlns:r="http://schemas.openxmlformats.org/officeDocument/2006/relationships" ref="U5" r:id="rId19"/>
    <hyperlink xmlns:r="http://schemas.openxmlformats.org/officeDocument/2006/relationships" ref="W5" r:id="rId20"/>
    <hyperlink xmlns:r="http://schemas.openxmlformats.org/officeDocument/2006/relationships" ref="J6" r:id="rId21"/>
    <hyperlink xmlns:r="http://schemas.openxmlformats.org/officeDocument/2006/relationships" ref="L6" r:id="rId22"/>
    <hyperlink xmlns:r="http://schemas.openxmlformats.org/officeDocument/2006/relationships" ref="N6" r:id="rId23"/>
    <hyperlink xmlns:r="http://schemas.openxmlformats.org/officeDocument/2006/relationships" ref="U6" r:id="rId24"/>
    <hyperlink xmlns:r="http://schemas.openxmlformats.org/officeDocument/2006/relationships" ref="J7" r:id="rId25"/>
    <hyperlink xmlns:r="http://schemas.openxmlformats.org/officeDocument/2006/relationships" ref="L7" r:id="rId26"/>
    <hyperlink xmlns:r="http://schemas.openxmlformats.org/officeDocument/2006/relationships" ref="N7" r:id="rId27"/>
    <hyperlink xmlns:r="http://schemas.openxmlformats.org/officeDocument/2006/relationships" ref="U7" r:id="rId28"/>
    <hyperlink xmlns:r="http://schemas.openxmlformats.org/officeDocument/2006/relationships" ref="J8" r:id="rId29"/>
    <hyperlink xmlns:r="http://schemas.openxmlformats.org/officeDocument/2006/relationships" ref="L8" r:id="rId30"/>
    <hyperlink xmlns:r="http://schemas.openxmlformats.org/officeDocument/2006/relationships" ref="N8" r:id="rId31"/>
    <hyperlink xmlns:r="http://schemas.openxmlformats.org/officeDocument/2006/relationships" ref="J9" r:id="rId32"/>
    <hyperlink xmlns:r="http://schemas.openxmlformats.org/officeDocument/2006/relationships" ref="L9" r:id="rId33"/>
    <hyperlink xmlns:r="http://schemas.openxmlformats.org/officeDocument/2006/relationships" ref="N9" r:id="rId34"/>
    <hyperlink xmlns:r="http://schemas.openxmlformats.org/officeDocument/2006/relationships" ref="U9" r:id="rId35"/>
    <hyperlink xmlns:r="http://schemas.openxmlformats.org/officeDocument/2006/relationships" ref="W9" r:id="rId36"/>
    <hyperlink xmlns:r="http://schemas.openxmlformats.org/officeDocument/2006/relationships" ref="J10" r:id="rId37"/>
    <hyperlink xmlns:r="http://schemas.openxmlformats.org/officeDocument/2006/relationships" ref="L10" r:id="rId38"/>
    <hyperlink xmlns:r="http://schemas.openxmlformats.org/officeDocument/2006/relationships" ref="N10" r:id="rId39"/>
    <hyperlink xmlns:r="http://schemas.openxmlformats.org/officeDocument/2006/relationships" ref="U10" r:id="rId40"/>
    <hyperlink xmlns:r="http://schemas.openxmlformats.org/officeDocument/2006/relationships" ref="W10" r:id="rId41"/>
    <hyperlink xmlns:r="http://schemas.openxmlformats.org/officeDocument/2006/relationships" ref="J11" r:id="rId42"/>
    <hyperlink xmlns:r="http://schemas.openxmlformats.org/officeDocument/2006/relationships" ref="L11" r:id="rId43"/>
    <hyperlink xmlns:r="http://schemas.openxmlformats.org/officeDocument/2006/relationships" ref="N11" r:id="rId44"/>
    <hyperlink xmlns:r="http://schemas.openxmlformats.org/officeDocument/2006/relationships" ref="U11" r:id="rId45"/>
    <hyperlink xmlns:r="http://schemas.openxmlformats.org/officeDocument/2006/relationships" ref="W11" r:id="rId46"/>
    <hyperlink xmlns:r="http://schemas.openxmlformats.org/officeDocument/2006/relationships" ref="J12" r:id="rId47"/>
    <hyperlink xmlns:r="http://schemas.openxmlformats.org/officeDocument/2006/relationships" ref="L12" r:id="rId48"/>
    <hyperlink xmlns:r="http://schemas.openxmlformats.org/officeDocument/2006/relationships" ref="N12" r:id="rId49"/>
    <hyperlink xmlns:r="http://schemas.openxmlformats.org/officeDocument/2006/relationships" ref="U12" r:id="rId50"/>
    <hyperlink xmlns:r="http://schemas.openxmlformats.org/officeDocument/2006/relationships" ref="J13" r:id="rId51"/>
    <hyperlink xmlns:r="http://schemas.openxmlformats.org/officeDocument/2006/relationships" ref="L13" r:id="rId52"/>
    <hyperlink xmlns:r="http://schemas.openxmlformats.org/officeDocument/2006/relationships" ref="N13" r:id="rId53"/>
    <hyperlink xmlns:r="http://schemas.openxmlformats.org/officeDocument/2006/relationships" ref="U13" r:id="rId54"/>
    <hyperlink xmlns:r="http://schemas.openxmlformats.org/officeDocument/2006/relationships" ref="W13" r:id="rId55"/>
    <hyperlink xmlns:r="http://schemas.openxmlformats.org/officeDocument/2006/relationships" ref="J14" r:id="rId56"/>
    <hyperlink xmlns:r="http://schemas.openxmlformats.org/officeDocument/2006/relationships" ref="L14" r:id="rId57"/>
    <hyperlink xmlns:r="http://schemas.openxmlformats.org/officeDocument/2006/relationships" ref="N14" r:id="rId58"/>
    <hyperlink xmlns:r="http://schemas.openxmlformats.org/officeDocument/2006/relationships" ref="U14" r:id="rId59"/>
    <hyperlink xmlns:r="http://schemas.openxmlformats.org/officeDocument/2006/relationships" ref="W14" r:id="rId60"/>
    <hyperlink xmlns:r="http://schemas.openxmlformats.org/officeDocument/2006/relationships" ref="J15" r:id="rId61"/>
    <hyperlink xmlns:r="http://schemas.openxmlformats.org/officeDocument/2006/relationships" ref="L15" r:id="rId62"/>
    <hyperlink xmlns:r="http://schemas.openxmlformats.org/officeDocument/2006/relationships" ref="N15" r:id="rId63"/>
    <hyperlink xmlns:r="http://schemas.openxmlformats.org/officeDocument/2006/relationships" ref="J16" r:id="rId64"/>
    <hyperlink xmlns:r="http://schemas.openxmlformats.org/officeDocument/2006/relationships" ref="L16" r:id="rId65"/>
    <hyperlink xmlns:r="http://schemas.openxmlformats.org/officeDocument/2006/relationships" ref="N16" r:id="rId66"/>
    <hyperlink xmlns:r="http://schemas.openxmlformats.org/officeDocument/2006/relationships" ref="U16" r:id="rId67"/>
    <hyperlink xmlns:r="http://schemas.openxmlformats.org/officeDocument/2006/relationships" ref="W16" r:id="rId68"/>
    <hyperlink xmlns:r="http://schemas.openxmlformats.org/officeDocument/2006/relationships" ref="J17" r:id="rId69"/>
    <hyperlink xmlns:r="http://schemas.openxmlformats.org/officeDocument/2006/relationships" ref="L17" r:id="rId70"/>
    <hyperlink xmlns:r="http://schemas.openxmlformats.org/officeDocument/2006/relationships" ref="N17" r:id="rId71"/>
    <hyperlink xmlns:r="http://schemas.openxmlformats.org/officeDocument/2006/relationships" ref="U17" r:id="rId72"/>
    <hyperlink xmlns:r="http://schemas.openxmlformats.org/officeDocument/2006/relationships" ref="W17" r:id="rId73"/>
    <hyperlink xmlns:r="http://schemas.openxmlformats.org/officeDocument/2006/relationships" ref="J18" r:id="rId74"/>
    <hyperlink xmlns:r="http://schemas.openxmlformats.org/officeDocument/2006/relationships" ref="L18" r:id="rId75"/>
    <hyperlink xmlns:r="http://schemas.openxmlformats.org/officeDocument/2006/relationships" ref="N18" r:id="rId76"/>
    <hyperlink xmlns:r="http://schemas.openxmlformats.org/officeDocument/2006/relationships" ref="U18" r:id="rId77"/>
    <hyperlink xmlns:r="http://schemas.openxmlformats.org/officeDocument/2006/relationships" ref="J19" r:id="rId78"/>
    <hyperlink xmlns:r="http://schemas.openxmlformats.org/officeDocument/2006/relationships" ref="L19" r:id="rId79"/>
    <hyperlink xmlns:r="http://schemas.openxmlformats.org/officeDocument/2006/relationships" ref="N19" r:id="rId80"/>
    <hyperlink xmlns:r="http://schemas.openxmlformats.org/officeDocument/2006/relationships" ref="U19" r:id="rId81"/>
    <hyperlink xmlns:r="http://schemas.openxmlformats.org/officeDocument/2006/relationships" ref="W19" r:id="rId82"/>
    <hyperlink xmlns:r="http://schemas.openxmlformats.org/officeDocument/2006/relationships" ref="J20" r:id="rId83"/>
    <hyperlink xmlns:r="http://schemas.openxmlformats.org/officeDocument/2006/relationships" ref="L20" r:id="rId84"/>
    <hyperlink xmlns:r="http://schemas.openxmlformats.org/officeDocument/2006/relationships" ref="N20" r:id="rId85"/>
    <hyperlink xmlns:r="http://schemas.openxmlformats.org/officeDocument/2006/relationships" ref="U20" r:id="rId86"/>
    <hyperlink xmlns:r="http://schemas.openxmlformats.org/officeDocument/2006/relationships" ref="W20" r:id="rId87"/>
    <hyperlink xmlns:r="http://schemas.openxmlformats.org/officeDocument/2006/relationships" ref="J21" r:id="rId88"/>
    <hyperlink xmlns:r="http://schemas.openxmlformats.org/officeDocument/2006/relationships" ref="L21" r:id="rId89"/>
    <hyperlink xmlns:r="http://schemas.openxmlformats.org/officeDocument/2006/relationships" ref="N21" r:id="rId90"/>
    <hyperlink xmlns:r="http://schemas.openxmlformats.org/officeDocument/2006/relationships" ref="U21" r:id="rId91"/>
    <hyperlink xmlns:r="http://schemas.openxmlformats.org/officeDocument/2006/relationships" ref="W21" r:id="rId92"/>
    <hyperlink xmlns:r="http://schemas.openxmlformats.org/officeDocument/2006/relationships" ref="J22" r:id="rId93"/>
    <hyperlink xmlns:r="http://schemas.openxmlformats.org/officeDocument/2006/relationships" ref="L22" r:id="rId94"/>
    <hyperlink xmlns:r="http://schemas.openxmlformats.org/officeDocument/2006/relationships" ref="N22" r:id="rId95"/>
    <hyperlink xmlns:r="http://schemas.openxmlformats.org/officeDocument/2006/relationships" ref="J23" r:id="rId96"/>
    <hyperlink xmlns:r="http://schemas.openxmlformats.org/officeDocument/2006/relationships" ref="L23" r:id="rId97"/>
    <hyperlink xmlns:r="http://schemas.openxmlformats.org/officeDocument/2006/relationships" ref="N23" r:id="rId98"/>
    <hyperlink xmlns:r="http://schemas.openxmlformats.org/officeDocument/2006/relationships" ref="U23" r:id="rId99"/>
    <hyperlink xmlns:r="http://schemas.openxmlformats.org/officeDocument/2006/relationships" ref="W23" r:id="rId100"/>
    <hyperlink xmlns:r="http://schemas.openxmlformats.org/officeDocument/2006/relationships" ref="J24" r:id="rId101"/>
    <hyperlink xmlns:r="http://schemas.openxmlformats.org/officeDocument/2006/relationships" ref="L24" r:id="rId102"/>
    <hyperlink xmlns:r="http://schemas.openxmlformats.org/officeDocument/2006/relationships" ref="N24" r:id="rId103"/>
    <hyperlink xmlns:r="http://schemas.openxmlformats.org/officeDocument/2006/relationships" ref="U24" r:id="rId104"/>
    <hyperlink xmlns:r="http://schemas.openxmlformats.org/officeDocument/2006/relationships" ref="W24" r:id="rId105"/>
    <hyperlink xmlns:r="http://schemas.openxmlformats.org/officeDocument/2006/relationships" ref="J25" r:id="rId106"/>
    <hyperlink xmlns:r="http://schemas.openxmlformats.org/officeDocument/2006/relationships" ref="L25" r:id="rId107"/>
    <hyperlink xmlns:r="http://schemas.openxmlformats.org/officeDocument/2006/relationships" ref="N25" r:id="rId108"/>
    <hyperlink xmlns:r="http://schemas.openxmlformats.org/officeDocument/2006/relationships" ref="U25" r:id="rId109"/>
    <hyperlink xmlns:r="http://schemas.openxmlformats.org/officeDocument/2006/relationships" ref="J26" r:id="rId110"/>
    <hyperlink xmlns:r="http://schemas.openxmlformats.org/officeDocument/2006/relationships" ref="L26" r:id="rId111"/>
    <hyperlink xmlns:r="http://schemas.openxmlformats.org/officeDocument/2006/relationships" ref="N26" r:id="rId112"/>
    <hyperlink xmlns:r="http://schemas.openxmlformats.org/officeDocument/2006/relationships" ref="U26" r:id="rId113"/>
    <hyperlink xmlns:r="http://schemas.openxmlformats.org/officeDocument/2006/relationships" ref="J27" r:id="rId114"/>
    <hyperlink xmlns:r="http://schemas.openxmlformats.org/officeDocument/2006/relationships" ref="L27" r:id="rId115"/>
    <hyperlink xmlns:r="http://schemas.openxmlformats.org/officeDocument/2006/relationships" ref="N27" r:id="rId116"/>
    <hyperlink xmlns:r="http://schemas.openxmlformats.org/officeDocument/2006/relationships" ref="U27" r:id="rId117"/>
    <hyperlink xmlns:r="http://schemas.openxmlformats.org/officeDocument/2006/relationships" ref="W27" r:id="rId118"/>
    <hyperlink xmlns:r="http://schemas.openxmlformats.org/officeDocument/2006/relationships" ref="J28" r:id="rId119"/>
    <hyperlink xmlns:r="http://schemas.openxmlformats.org/officeDocument/2006/relationships" ref="L28" r:id="rId120"/>
    <hyperlink xmlns:r="http://schemas.openxmlformats.org/officeDocument/2006/relationships" ref="N28" r:id="rId121"/>
    <hyperlink xmlns:r="http://schemas.openxmlformats.org/officeDocument/2006/relationships" ref="U28" r:id="rId122"/>
    <hyperlink xmlns:r="http://schemas.openxmlformats.org/officeDocument/2006/relationships" ref="W28" r:id="rId123"/>
    <hyperlink xmlns:r="http://schemas.openxmlformats.org/officeDocument/2006/relationships" ref="J29" r:id="rId124"/>
    <hyperlink xmlns:r="http://schemas.openxmlformats.org/officeDocument/2006/relationships" ref="L29" r:id="rId125"/>
    <hyperlink xmlns:r="http://schemas.openxmlformats.org/officeDocument/2006/relationships" ref="N29" r:id="rId126"/>
    <hyperlink xmlns:r="http://schemas.openxmlformats.org/officeDocument/2006/relationships" ref="J30" r:id="rId127"/>
    <hyperlink xmlns:r="http://schemas.openxmlformats.org/officeDocument/2006/relationships" ref="L30" r:id="rId128"/>
    <hyperlink xmlns:r="http://schemas.openxmlformats.org/officeDocument/2006/relationships" ref="N30" r:id="rId129"/>
    <hyperlink xmlns:r="http://schemas.openxmlformats.org/officeDocument/2006/relationships" ref="U30" r:id="rId130"/>
    <hyperlink xmlns:r="http://schemas.openxmlformats.org/officeDocument/2006/relationships" ref="J31" r:id="rId131"/>
    <hyperlink xmlns:r="http://schemas.openxmlformats.org/officeDocument/2006/relationships" ref="L31" r:id="rId132"/>
    <hyperlink xmlns:r="http://schemas.openxmlformats.org/officeDocument/2006/relationships" ref="N31" r:id="rId133"/>
    <hyperlink xmlns:r="http://schemas.openxmlformats.org/officeDocument/2006/relationships" ref="U31" r:id="rId134"/>
    <hyperlink xmlns:r="http://schemas.openxmlformats.org/officeDocument/2006/relationships" ref="W31" r:id="rId135"/>
    <hyperlink xmlns:r="http://schemas.openxmlformats.org/officeDocument/2006/relationships" ref="J32" r:id="rId136"/>
    <hyperlink xmlns:r="http://schemas.openxmlformats.org/officeDocument/2006/relationships" ref="L32" r:id="rId137"/>
    <hyperlink xmlns:r="http://schemas.openxmlformats.org/officeDocument/2006/relationships" ref="N32" r:id="rId138"/>
    <hyperlink xmlns:r="http://schemas.openxmlformats.org/officeDocument/2006/relationships" ref="U32" r:id="rId139"/>
    <hyperlink xmlns:r="http://schemas.openxmlformats.org/officeDocument/2006/relationships" ref="J33" r:id="rId140"/>
    <hyperlink xmlns:r="http://schemas.openxmlformats.org/officeDocument/2006/relationships" ref="L33" r:id="rId141"/>
    <hyperlink xmlns:r="http://schemas.openxmlformats.org/officeDocument/2006/relationships" ref="N33" r:id="rId142"/>
    <hyperlink xmlns:r="http://schemas.openxmlformats.org/officeDocument/2006/relationships" ref="U33" r:id="rId143"/>
    <hyperlink xmlns:r="http://schemas.openxmlformats.org/officeDocument/2006/relationships" ref="J34" r:id="rId144"/>
    <hyperlink xmlns:r="http://schemas.openxmlformats.org/officeDocument/2006/relationships" ref="L34" r:id="rId145"/>
    <hyperlink xmlns:r="http://schemas.openxmlformats.org/officeDocument/2006/relationships" ref="N34" r:id="rId146"/>
    <hyperlink xmlns:r="http://schemas.openxmlformats.org/officeDocument/2006/relationships" ref="U34" r:id="rId147"/>
    <hyperlink xmlns:r="http://schemas.openxmlformats.org/officeDocument/2006/relationships" ref="J35" r:id="rId148"/>
    <hyperlink xmlns:r="http://schemas.openxmlformats.org/officeDocument/2006/relationships" ref="L35" r:id="rId149"/>
    <hyperlink xmlns:r="http://schemas.openxmlformats.org/officeDocument/2006/relationships" ref="N35" r:id="rId150"/>
    <hyperlink xmlns:r="http://schemas.openxmlformats.org/officeDocument/2006/relationships" ref="U35" r:id="rId151"/>
    <hyperlink xmlns:r="http://schemas.openxmlformats.org/officeDocument/2006/relationships" ref="W35" r:id="rId152"/>
    <hyperlink xmlns:r="http://schemas.openxmlformats.org/officeDocument/2006/relationships" ref="J36" r:id="rId153"/>
    <hyperlink xmlns:r="http://schemas.openxmlformats.org/officeDocument/2006/relationships" ref="L36" r:id="rId154"/>
    <hyperlink xmlns:r="http://schemas.openxmlformats.org/officeDocument/2006/relationships" ref="N36" r:id="rId155"/>
    <hyperlink xmlns:r="http://schemas.openxmlformats.org/officeDocument/2006/relationships" ref="J37" r:id="rId156"/>
    <hyperlink xmlns:r="http://schemas.openxmlformats.org/officeDocument/2006/relationships" ref="L37" r:id="rId157"/>
    <hyperlink xmlns:r="http://schemas.openxmlformats.org/officeDocument/2006/relationships" ref="N37" r:id="rId158"/>
    <hyperlink xmlns:r="http://schemas.openxmlformats.org/officeDocument/2006/relationships" ref="U37" r:id="rId159"/>
    <hyperlink xmlns:r="http://schemas.openxmlformats.org/officeDocument/2006/relationships" ref="W37" r:id="rId160"/>
    <hyperlink xmlns:r="http://schemas.openxmlformats.org/officeDocument/2006/relationships" ref="J38" r:id="rId161"/>
    <hyperlink xmlns:r="http://schemas.openxmlformats.org/officeDocument/2006/relationships" ref="L38" r:id="rId162"/>
    <hyperlink xmlns:r="http://schemas.openxmlformats.org/officeDocument/2006/relationships" ref="N38" r:id="rId163"/>
    <hyperlink xmlns:r="http://schemas.openxmlformats.org/officeDocument/2006/relationships" ref="U38" r:id="rId164"/>
    <hyperlink xmlns:r="http://schemas.openxmlformats.org/officeDocument/2006/relationships" ref="J39" r:id="rId165"/>
    <hyperlink xmlns:r="http://schemas.openxmlformats.org/officeDocument/2006/relationships" ref="L39" r:id="rId166"/>
    <hyperlink xmlns:r="http://schemas.openxmlformats.org/officeDocument/2006/relationships" ref="N39" r:id="rId167"/>
    <hyperlink xmlns:r="http://schemas.openxmlformats.org/officeDocument/2006/relationships" ref="U39" r:id="rId168"/>
    <hyperlink xmlns:r="http://schemas.openxmlformats.org/officeDocument/2006/relationships" ref="W39" r:id="rId169"/>
    <hyperlink xmlns:r="http://schemas.openxmlformats.org/officeDocument/2006/relationships" ref="J40" r:id="rId170"/>
    <hyperlink xmlns:r="http://schemas.openxmlformats.org/officeDocument/2006/relationships" ref="L40" r:id="rId171"/>
    <hyperlink xmlns:r="http://schemas.openxmlformats.org/officeDocument/2006/relationships" ref="N40" r:id="rId172"/>
    <hyperlink xmlns:r="http://schemas.openxmlformats.org/officeDocument/2006/relationships" ref="U40" r:id="rId173"/>
    <hyperlink xmlns:r="http://schemas.openxmlformats.org/officeDocument/2006/relationships" ref="J41" r:id="rId174"/>
    <hyperlink xmlns:r="http://schemas.openxmlformats.org/officeDocument/2006/relationships" ref="L41" r:id="rId175"/>
    <hyperlink xmlns:r="http://schemas.openxmlformats.org/officeDocument/2006/relationships" ref="N41" r:id="rId176"/>
    <hyperlink xmlns:r="http://schemas.openxmlformats.org/officeDocument/2006/relationships" ref="U41" r:id="rId177"/>
    <hyperlink xmlns:r="http://schemas.openxmlformats.org/officeDocument/2006/relationships" ref="J42" r:id="rId178"/>
    <hyperlink xmlns:r="http://schemas.openxmlformats.org/officeDocument/2006/relationships" ref="L42" r:id="rId179"/>
    <hyperlink xmlns:r="http://schemas.openxmlformats.org/officeDocument/2006/relationships" ref="N42" r:id="rId180"/>
    <hyperlink xmlns:r="http://schemas.openxmlformats.org/officeDocument/2006/relationships" ref="U42" r:id="rId181"/>
    <hyperlink xmlns:r="http://schemas.openxmlformats.org/officeDocument/2006/relationships" ref="W42" r:id="rId182"/>
    <hyperlink xmlns:r="http://schemas.openxmlformats.org/officeDocument/2006/relationships" ref="J43" r:id="rId183"/>
    <hyperlink xmlns:r="http://schemas.openxmlformats.org/officeDocument/2006/relationships" ref="L43" r:id="rId184"/>
    <hyperlink xmlns:r="http://schemas.openxmlformats.org/officeDocument/2006/relationships" ref="N43" r:id="rId185"/>
    <hyperlink xmlns:r="http://schemas.openxmlformats.org/officeDocument/2006/relationships" ref="J44" r:id="rId186"/>
    <hyperlink xmlns:r="http://schemas.openxmlformats.org/officeDocument/2006/relationships" ref="L44" r:id="rId187"/>
    <hyperlink xmlns:r="http://schemas.openxmlformats.org/officeDocument/2006/relationships" ref="N44" r:id="rId188"/>
    <hyperlink xmlns:r="http://schemas.openxmlformats.org/officeDocument/2006/relationships" ref="U44" r:id="rId189"/>
    <hyperlink xmlns:r="http://schemas.openxmlformats.org/officeDocument/2006/relationships" ref="W44" r:id="rId190"/>
    <hyperlink xmlns:r="http://schemas.openxmlformats.org/officeDocument/2006/relationships" ref="J45" r:id="rId191"/>
    <hyperlink xmlns:r="http://schemas.openxmlformats.org/officeDocument/2006/relationships" ref="L45" r:id="rId192"/>
    <hyperlink xmlns:r="http://schemas.openxmlformats.org/officeDocument/2006/relationships" ref="N45" r:id="rId193"/>
    <hyperlink xmlns:r="http://schemas.openxmlformats.org/officeDocument/2006/relationships" ref="U45" r:id="rId194"/>
    <hyperlink xmlns:r="http://schemas.openxmlformats.org/officeDocument/2006/relationships" ref="W45" r:id="rId195"/>
    <hyperlink xmlns:r="http://schemas.openxmlformats.org/officeDocument/2006/relationships" ref="J46" r:id="rId196"/>
    <hyperlink xmlns:r="http://schemas.openxmlformats.org/officeDocument/2006/relationships" ref="L46" r:id="rId197"/>
    <hyperlink xmlns:r="http://schemas.openxmlformats.org/officeDocument/2006/relationships" ref="N46" r:id="rId198"/>
    <hyperlink xmlns:r="http://schemas.openxmlformats.org/officeDocument/2006/relationships" ref="U46" r:id="rId199"/>
    <hyperlink xmlns:r="http://schemas.openxmlformats.org/officeDocument/2006/relationships" ref="J47" r:id="rId200"/>
    <hyperlink xmlns:r="http://schemas.openxmlformats.org/officeDocument/2006/relationships" ref="L47" r:id="rId201"/>
    <hyperlink xmlns:r="http://schemas.openxmlformats.org/officeDocument/2006/relationships" ref="N47" r:id="rId202"/>
    <hyperlink xmlns:r="http://schemas.openxmlformats.org/officeDocument/2006/relationships" ref="U47" r:id="rId203"/>
    <hyperlink xmlns:r="http://schemas.openxmlformats.org/officeDocument/2006/relationships" ref="J48" r:id="rId204"/>
    <hyperlink xmlns:r="http://schemas.openxmlformats.org/officeDocument/2006/relationships" ref="L48" r:id="rId205"/>
    <hyperlink xmlns:r="http://schemas.openxmlformats.org/officeDocument/2006/relationships" ref="N48" r:id="rId206"/>
    <hyperlink xmlns:r="http://schemas.openxmlformats.org/officeDocument/2006/relationships" ref="U48" r:id="rId207"/>
    <hyperlink xmlns:r="http://schemas.openxmlformats.org/officeDocument/2006/relationships" ref="J49" r:id="rId208"/>
    <hyperlink xmlns:r="http://schemas.openxmlformats.org/officeDocument/2006/relationships" ref="L49" r:id="rId209"/>
    <hyperlink xmlns:r="http://schemas.openxmlformats.org/officeDocument/2006/relationships" ref="N49" r:id="rId210"/>
    <hyperlink xmlns:r="http://schemas.openxmlformats.org/officeDocument/2006/relationships" ref="U49" r:id="rId211"/>
    <hyperlink xmlns:r="http://schemas.openxmlformats.org/officeDocument/2006/relationships" ref="J50" r:id="rId212"/>
    <hyperlink xmlns:r="http://schemas.openxmlformats.org/officeDocument/2006/relationships" ref="L50" r:id="rId213"/>
    <hyperlink xmlns:r="http://schemas.openxmlformats.org/officeDocument/2006/relationships" ref="N50" r:id="rId214"/>
    <hyperlink xmlns:r="http://schemas.openxmlformats.org/officeDocument/2006/relationships" ref="J51" r:id="rId215"/>
    <hyperlink xmlns:r="http://schemas.openxmlformats.org/officeDocument/2006/relationships" ref="L51" r:id="rId216"/>
    <hyperlink xmlns:r="http://schemas.openxmlformats.org/officeDocument/2006/relationships" ref="N51" r:id="rId217"/>
    <hyperlink xmlns:r="http://schemas.openxmlformats.org/officeDocument/2006/relationships" ref="U51" r:id="rId218"/>
    <hyperlink xmlns:r="http://schemas.openxmlformats.org/officeDocument/2006/relationships" ref="J52" r:id="rId219"/>
    <hyperlink xmlns:r="http://schemas.openxmlformats.org/officeDocument/2006/relationships" ref="L52" r:id="rId220"/>
    <hyperlink xmlns:r="http://schemas.openxmlformats.org/officeDocument/2006/relationships" ref="N52" r:id="rId221"/>
    <hyperlink xmlns:r="http://schemas.openxmlformats.org/officeDocument/2006/relationships" ref="U52" r:id="rId222"/>
    <hyperlink xmlns:r="http://schemas.openxmlformats.org/officeDocument/2006/relationships" ref="W52" r:id="rId223"/>
    <hyperlink xmlns:r="http://schemas.openxmlformats.org/officeDocument/2006/relationships" ref="J53" r:id="rId224"/>
    <hyperlink xmlns:r="http://schemas.openxmlformats.org/officeDocument/2006/relationships" ref="L53" r:id="rId225"/>
    <hyperlink xmlns:r="http://schemas.openxmlformats.org/officeDocument/2006/relationships" ref="N53" r:id="rId226"/>
    <hyperlink xmlns:r="http://schemas.openxmlformats.org/officeDocument/2006/relationships" ref="U53" r:id="rId227"/>
    <hyperlink xmlns:r="http://schemas.openxmlformats.org/officeDocument/2006/relationships" ref="J54" r:id="rId228"/>
    <hyperlink xmlns:r="http://schemas.openxmlformats.org/officeDocument/2006/relationships" ref="L54" r:id="rId229"/>
    <hyperlink xmlns:r="http://schemas.openxmlformats.org/officeDocument/2006/relationships" ref="N54" r:id="rId230"/>
    <hyperlink xmlns:r="http://schemas.openxmlformats.org/officeDocument/2006/relationships" ref="U54" r:id="rId231"/>
    <hyperlink xmlns:r="http://schemas.openxmlformats.org/officeDocument/2006/relationships" ref="J55" r:id="rId232"/>
    <hyperlink xmlns:r="http://schemas.openxmlformats.org/officeDocument/2006/relationships" ref="L55" r:id="rId233"/>
    <hyperlink xmlns:r="http://schemas.openxmlformats.org/officeDocument/2006/relationships" ref="N55" r:id="rId234"/>
    <hyperlink xmlns:r="http://schemas.openxmlformats.org/officeDocument/2006/relationships" ref="U55" r:id="rId235"/>
    <hyperlink xmlns:r="http://schemas.openxmlformats.org/officeDocument/2006/relationships" ref="W55" r:id="rId236"/>
    <hyperlink xmlns:r="http://schemas.openxmlformats.org/officeDocument/2006/relationships" ref="J56" r:id="rId237"/>
    <hyperlink xmlns:r="http://schemas.openxmlformats.org/officeDocument/2006/relationships" ref="L56" r:id="rId238"/>
    <hyperlink xmlns:r="http://schemas.openxmlformats.org/officeDocument/2006/relationships" ref="N56" r:id="rId239"/>
    <hyperlink xmlns:r="http://schemas.openxmlformats.org/officeDocument/2006/relationships" ref="U56" r:id="rId240"/>
    <hyperlink xmlns:r="http://schemas.openxmlformats.org/officeDocument/2006/relationships" ref="J57" r:id="rId241"/>
    <hyperlink xmlns:r="http://schemas.openxmlformats.org/officeDocument/2006/relationships" ref="L57" r:id="rId242"/>
    <hyperlink xmlns:r="http://schemas.openxmlformats.org/officeDocument/2006/relationships" ref="N57" r:id="rId243"/>
    <hyperlink xmlns:r="http://schemas.openxmlformats.org/officeDocument/2006/relationships" ref="J58" r:id="rId244"/>
    <hyperlink xmlns:r="http://schemas.openxmlformats.org/officeDocument/2006/relationships" ref="L58" r:id="rId245"/>
    <hyperlink xmlns:r="http://schemas.openxmlformats.org/officeDocument/2006/relationships" ref="N58" r:id="rId246"/>
    <hyperlink xmlns:r="http://schemas.openxmlformats.org/officeDocument/2006/relationships" ref="U58" r:id="rId247"/>
    <hyperlink xmlns:r="http://schemas.openxmlformats.org/officeDocument/2006/relationships" ref="J59" r:id="rId248"/>
    <hyperlink xmlns:r="http://schemas.openxmlformats.org/officeDocument/2006/relationships" ref="L59" r:id="rId249"/>
    <hyperlink xmlns:r="http://schemas.openxmlformats.org/officeDocument/2006/relationships" ref="N59" r:id="rId250"/>
    <hyperlink xmlns:r="http://schemas.openxmlformats.org/officeDocument/2006/relationships" ref="U59" r:id="rId251"/>
    <hyperlink xmlns:r="http://schemas.openxmlformats.org/officeDocument/2006/relationships" ref="W59" r:id="rId252"/>
    <hyperlink xmlns:r="http://schemas.openxmlformats.org/officeDocument/2006/relationships" ref="J60" r:id="rId253"/>
    <hyperlink xmlns:r="http://schemas.openxmlformats.org/officeDocument/2006/relationships" ref="L60" r:id="rId254"/>
    <hyperlink xmlns:r="http://schemas.openxmlformats.org/officeDocument/2006/relationships" ref="N60" r:id="rId255"/>
    <hyperlink xmlns:r="http://schemas.openxmlformats.org/officeDocument/2006/relationships" ref="U60" r:id="rId256"/>
    <hyperlink xmlns:r="http://schemas.openxmlformats.org/officeDocument/2006/relationships" ref="J61" r:id="rId257"/>
    <hyperlink xmlns:r="http://schemas.openxmlformats.org/officeDocument/2006/relationships" ref="L61" r:id="rId258"/>
    <hyperlink xmlns:r="http://schemas.openxmlformats.org/officeDocument/2006/relationships" ref="N61" r:id="rId259"/>
    <hyperlink xmlns:r="http://schemas.openxmlformats.org/officeDocument/2006/relationships" ref="U61" r:id="rId260"/>
    <hyperlink xmlns:r="http://schemas.openxmlformats.org/officeDocument/2006/relationships" ref="J62" r:id="rId261"/>
    <hyperlink xmlns:r="http://schemas.openxmlformats.org/officeDocument/2006/relationships" ref="L62" r:id="rId262"/>
    <hyperlink xmlns:r="http://schemas.openxmlformats.org/officeDocument/2006/relationships" ref="N62" r:id="rId263"/>
    <hyperlink xmlns:r="http://schemas.openxmlformats.org/officeDocument/2006/relationships" ref="U62" r:id="rId264"/>
    <hyperlink xmlns:r="http://schemas.openxmlformats.org/officeDocument/2006/relationships" ref="J63" r:id="rId265"/>
    <hyperlink xmlns:r="http://schemas.openxmlformats.org/officeDocument/2006/relationships" ref="L63" r:id="rId266"/>
    <hyperlink xmlns:r="http://schemas.openxmlformats.org/officeDocument/2006/relationships" ref="N63" r:id="rId267"/>
    <hyperlink xmlns:r="http://schemas.openxmlformats.org/officeDocument/2006/relationships" ref="U63" r:id="rId268"/>
    <hyperlink xmlns:r="http://schemas.openxmlformats.org/officeDocument/2006/relationships" ref="W63" r:id="rId269"/>
    <hyperlink xmlns:r="http://schemas.openxmlformats.org/officeDocument/2006/relationships" ref="J64" r:id="rId270"/>
    <hyperlink xmlns:r="http://schemas.openxmlformats.org/officeDocument/2006/relationships" ref="L64" r:id="rId271"/>
    <hyperlink xmlns:r="http://schemas.openxmlformats.org/officeDocument/2006/relationships" ref="N64" r:id="rId272"/>
    <hyperlink xmlns:r="http://schemas.openxmlformats.org/officeDocument/2006/relationships" ref="J65" r:id="rId273"/>
    <hyperlink xmlns:r="http://schemas.openxmlformats.org/officeDocument/2006/relationships" ref="L65" r:id="rId274"/>
    <hyperlink xmlns:r="http://schemas.openxmlformats.org/officeDocument/2006/relationships" ref="N65" r:id="rId275"/>
    <hyperlink xmlns:r="http://schemas.openxmlformats.org/officeDocument/2006/relationships" ref="U65" r:id="rId276"/>
    <hyperlink xmlns:r="http://schemas.openxmlformats.org/officeDocument/2006/relationships" ref="J66" r:id="rId277"/>
    <hyperlink xmlns:r="http://schemas.openxmlformats.org/officeDocument/2006/relationships" ref="L66" r:id="rId278"/>
    <hyperlink xmlns:r="http://schemas.openxmlformats.org/officeDocument/2006/relationships" ref="N66" r:id="rId279"/>
    <hyperlink xmlns:r="http://schemas.openxmlformats.org/officeDocument/2006/relationships" ref="U66" r:id="rId280"/>
    <hyperlink xmlns:r="http://schemas.openxmlformats.org/officeDocument/2006/relationships" ref="J67" r:id="rId281"/>
    <hyperlink xmlns:r="http://schemas.openxmlformats.org/officeDocument/2006/relationships" ref="L67" r:id="rId282"/>
    <hyperlink xmlns:r="http://schemas.openxmlformats.org/officeDocument/2006/relationships" ref="N67" r:id="rId283"/>
    <hyperlink xmlns:r="http://schemas.openxmlformats.org/officeDocument/2006/relationships" ref="U67" r:id="rId284"/>
    <hyperlink xmlns:r="http://schemas.openxmlformats.org/officeDocument/2006/relationships" ref="J68" r:id="rId285"/>
    <hyperlink xmlns:r="http://schemas.openxmlformats.org/officeDocument/2006/relationships" ref="L68" r:id="rId286"/>
    <hyperlink xmlns:r="http://schemas.openxmlformats.org/officeDocument/2006/relationships" ref="N68" r:id="rId287"/>
    <hyperlink xmlns:r="http://schemas.openxmlformats.org/officeDocument/2006/relationships" ref="U68" r:id="rId288"/>
    <hyperlink xmlns:r="http://schemas.openxmlformats.org/officeDocument/2006/relationships" ref="J69" r:id="rId289"/>
    <hyperlink xmlns:r="http://schemas.openxmlformats.org/officeDocument/2006/relationships" ref="L69" r:id="rId290"/>
    <hyperlink xmlns:r="http://schemas.openxmlformats.org/officeDocument/2006/relationships" ref="N69" r:id="rId291"/>
    <hyperlink xmlns:r="http://schemas.openxmlformats.org/officeDocument/2006/relationships" ref="U69" r:id="rId292"/>
    <hyperlink xmlns:r="http://schemas.openxmlformats.org/officeDocument/2006/relationships" ref="W69" r:id="rId293"/>
    <hyperlink xmlns:r="http://schemas.openxmlformats.org/officeDocument/2006/relationships" ref="J70" r:id="rId294"/>
    <hyperlink xmlns:r="http://schemas.openxmlformats.org/officeDocument/2006/relationships" ref="L70" r:id="rId295"/>
    <hyperlink xmlns:r="http://schemas.openxmlformats.org/officeDocument/2006/relationships" ref="N70" r:id="rId296"/>
    <hyperlink xmlns:r="http://schemas.openxmlformats.org/officeDocument/2006/relationships" ref="U70" r:id="rId297"/>
    <hyperlink xmlns:r="http://schemas.openxmlformats.org/officeDocument/2006/relationships" ref="J71" r:id="rId298"/>
    <hyperlink xmlns:r="http://schemas.openxmlformats.org/officeDocument/2006/relationships" ref="L71" r:id="rId299"/>
    <hyperlink xmlns:r="http://schemas.openxmlformats.org/officeDocument/2006/relationships" ref="N71" r:id="rId300"/>
    <hyperlink xmlns:r="http://schemas.openxmlformats.org/officeDocument/2006/relationships" ref="J72" r:id="rId301"/>
    <hyperlink xmlns:r="http://schemas.openxmlformats.org/officeDocument/2006/relationships" ref="L72" r:id="rId302"/>
    <hyperlink xmlns:r="http://schemas.openxmlformats.org/officeDocument/2006/relationships" ref="N72" r:id="rId303"/>
    <hyperlink xmlns:r="http://schemas.openxmlformats.org/officeDocument/2006/relationships" ref="U72" r:id="rId304"/>
    <hyperlink xmlns:r="http://schemas.openxmlformats.org/officeDocument/2006/relationships" ref="W72" r:id="rId305"/>
    <hyperlink xmlns:r="http://schemas.openxmlformats.org/officeDocument/2006/relationships" ref="J73" r:id="rId306"/>
    <hyperlink xmlns:r="http://schemas.openxmlformats.org/officeDocument/2006/relationships" ref="L73" r:id="rId307"/>
    <hyperlink xmlns:r="http://schemas.openxmlformats.org/officeDocument/2006/relationships" ref="N73" r:id="rId308"/>
    <hyperlink xmlns:r="http://schemas.openxmlformats.org/officeDocument/2006/relationships" ref="U73" r:id="rId309"/>
    <hyperlink xmlns:r="http://schemas.openxmlformats.org/officeDocument/2006/relationships" ref="W73" r:id="rId310"/>
    <hyperlink xmlns:r="http://schemas.openxmlformats.org/officeDocument/2006/relationships" ref="J74" r:id="rId311"/>
    <hyperlink xmlns:r="http://schemas.openxmlformats.org/officeDocument/2006/relationships" ref="L74" r:id="rId312"/>
    <hyperlink xmlns:r="http://schemas.openxmlformats.org/officeDocument/2006/relationships" ref="N74" r:id="rId313"/>
    <hyperlink xmlns:r="http://schemas.openxmlformats.org/officeDocument/2006/relationships" ref="U74" r:id="rId314"/>
    <hyperlink xmlns:r="http://schemas.openxmlformats.org/officeDocument/2006/relationships" ref="J75" r:id="rId315"/>
    <hyperlink xmlns:r="http://schemas.openxmlformats.org/officeDocument/2006/relationships" ref="L75" r:id="rId316"/>
    <hyperlink xmlns:r="http://schemas.openxmlformats.org/officeDocument/2006/relationships" ref="N75" r:id="rId317"/>
    <hyperlink xmlns:r="http://schemas.openxmlformats.org/officeDocument/2006/relationships" ref="U75" r:id="rId318"/>
    <hyperlink xmlns:r="http://schemas.openxmlformats.org/officeDocument/2006/relationships" ref="W75" r:id="rId319"/>
    <hyperlink xmlns:r="http://schemas.openxmlformats.org/officeDocument/2006/relationships" ref="J76" r:id="rId320"/>
    <hyperlink xmlns:r="http://schemas.openxmlformats.org/officeDocument/2006/relationships" ref="L76" r:id="rId321"/>
    <hyperlink xmlns:r="http://schemas.openxmlformats.org/officeDocument/2006/relationships" ref="N76" r:id="rId322"/>
    <hyperlink xmlns:r="http://schemas.openxmlformats.org/officeDocument/2006/relationships" ref="U76" r:id="rId323"/>
    <hyperlink xmlns:r="http://schemas.openxmlformats.org/officeDocument/2006/relationships" ref="W76" r:id="rId32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12" customWidth="1" min="3" max="3"/>
    <col width="46" customWidth="1" min="4" max="4"/>
    <col width="10" customWidth="1" min="5" max="5"/>
    <col width="30" customWidth="1" min="6" max="6"/>
    <col width="9" customWidth="1" min="7" max="7"/>
    <col width="9" customWidth="1" min="8" max="8"/>
    <col width="40" customWidth="1" min="9" max="9"/>
  </cols>
  <sheetData>
    <row r="1" ht="30" customHeight="1">
      <c r="A1" s="8" t="inlineStr">
        <is>
          <t>#</t>
        </is>
      </c>
      <c r="B1" s="8" t="inlineStr">
        <is>
          <t>Day</t>
        </is>
      </c>
      <c r="C1" s="8" t="inlineStr">
        <is>
          <t>Date</t>
        </is>
      </c>
      <c r="D1" s="8" t="inlineStr">
        <is>
          <t>Problem</t>
        </is>
      </c>
      <c r="E1" s="8" t="inlineStr">
        <is>
          <t>Difficulty</t>
        </is>
      </c>
      <c r="F1" s="8" t="inlineStr">
        <is>
          <t>Pattern</t>
        </is>
      </c>
      <c r="G1" s="8" t="inlineStr">
        <is>
          <t>Solved</t>
        </is>
      </c>
      <c r="H1" s="8" t="inlineStr">
        <is>
          <t>Revisit</t>
        </is>
      </c>
      <c r="I1" s="8" t="inlineStr">
        <is>
          <t>Notes</t>
        </is>
      </c>
    </row>
    <row r="2">
      <c r="A2" s="9" t="n">
        <v>1</v>
      </c>
      <c r="B2" s="9" t="n">
        <v>1</v>
      </c>
      <c r="C2" s="20" t="n">
        <v>46293</v>
      </c>
      <c r="D2" s="21" t="inlineStr">
        <is>
          <t>Group Anagrams</t>
        </is>
      </c>
      <c r="E2" s="22" t="inlineStr">
        <is>
          <t>Medium</t>
        </is>
      </c>
      <c r="F2" s="9" t="inlineStr">
        <is>
          <t>Arrays &amp; hashing</t>
        </is>
      </c>
      <c r="G2" s="9">
        <f>IF(Tracker!E2="✓","Yes","")</f>
        <v/>
      </c>
      <c r="H2" s="9" t="inlineStr"/>
      <c r="I2" s="9" t="n"/>
    </row>
    <row r="3">
      <c r="A3" s="9" t="n">
        <v>2</v>
      </c>
      <c r="B3" s="9" t="n">
        <v>1</v>
      </c>
      <c r="C3" s="20" t="n">
        <v>46293</v>
      </c>
      <c r="D3" s="21" t="inlineStr">
        <is>
          <t>Top K Frequent Elements</t>
        </is>
      </c>
      <c r="E3" s="22" t="inlineStr">
        <is>
          <t>Medium</t>
        </is>
      </c>
      <c r="F3" s="9" t="inlineStr">
        <is>
          <t>Arrays &amp; hashing</t>
        </is>
      </c>
      <c r="G3" s="9">
        <f>IF(Tracker!F2="✓","Yes","")</f>
        <v/>
      </c>
      <c r="H3" s="9" t="inlineStr"/>
      <c r="I3" s="9" t="n"/>
    </row>
    <row r="4">
      <c r="A4" s="9" t="n">
        <v>3</v>
      </c>
      <c r="B4" s="9" t="n">
        <v>1</v>
      </c>
      <c r="C4" s="20" t="n">
        <v>46293</v>
      </c>
      <c r="D4" s="21" t="inlineStr">
        <is>
          <t>First Missing Positive</t>
        </is>
      </c>
      <c r="E4" s="23" t="inlineStr">
        <is>
          <t>Hard</t>
        </is>
      </c>
      <c r="F4" s="9" t="inlineStr">
        <is>
          <t>Arrays &amp; hashing</t>
        </is>
      </c>
      <c r="G4" s="9">
        <f>IF(Tracker!G2="✓","Yes","")</f>
        <v/>
      </c>
      <c r="H4" s="9" t="inlineStr"/>
      <c r="I4" s="9" t="n"/>
    </row>
    <row r="5">
      <c r="A5" s="9" t="n">
        <v>4</v>
      </c>
      <c r="B5" s="9" t="n">
        <v>2</v>
      </c>
      <c r="C5" s="20" t="n">
        <v>46294</v>
      </c>
      <c r="D5" s="21" t="inlineStr">
        <is>
          <t>Product of Array Except Self</t>
        </is>
      </c>
      <c r="E5" s="22" t="inlineStr">
        <is>
          <t>Medium</t>
        </is>
      </c>
      <c r="F5" s="9" t="inlineStr">
        <is>
          <t>Arrays &amp; hashing</t>
        </is>
      </c>
      <c r="G5" s="9">
        <f>IF(Tracker!E3="✓","Yes","")</f>
        <v/>
      </c>
      <c r="H5" s="9" t="inlineStr"/>
      <c r="I5" s="9" t="n"/>
    </row>
    <row r="6">
      <c r="A6" s="9" t="n">
        <v>5</v>
      </c>
      <c r="B6" s="9" t="n">
        <v>2</v>
      </c>
      <c r="C6" s="20" t="n">
        <v>46294</v>
      </c>
      <c r="D6" s="21" t="inlineStr">
        <is>
          <t>Longest Consecutive Sequence</t>
        </is>
      </c>
      <c r="E6" s="22" t="inlineStr">
        <is>
          <t>Medium</t>
        </is>
      </c>
      <c r="F6" s="9" t="inlineStr">
        <is>
          <t>Arrays &amp; hashing</t>
        </is>
      </c>
      <c r="G6" s="9">
        <f>IF(Tracker!F3="✓","Yes","")</f>
        <v/>
      </c>
      <c r="H6" s="9" t="inlineStr"/>
      <c r="I6" s="9" t="n"/>
    </row>
    <row r="7">
      <c r="A7" s="9" t="n">
        <v>6</v>
      </c>
      <c r="B7" s="9" t="n">
        <v>2</v>
      </c>
      <c r="C7" s="20" t="n">
        <v>46294</v>
      </c>
      <c r="D7" s="21" t="inlineStr">
        <is>
          <t>Insert Delete GetRandom O(1) - Duplicates allowed</t>
        </is>
      </c>
      <c r="E7" s="23" t="inlineStr">
        <is>
          <t>Hard</t>
        </is>
      </c>
      <c r="F7" s="9" t="inlineStr">
        <is>
          <t>Arrays &amp; hashing</t>
        </is>
      </c>
      <c r="G7" s="9">
        <f>IF(Tracker!G3="✓","Yes","")</f>
        <v/>
      </c>
      <c r="H7" s="9" t="inlineStr"/>
      <c r="I7" s="9" t="n"/>
    </row>
    <row r="8">
      <c r="A8" s="9" t="n">
        <v>7</v>
      </c>
      <c r="B8" s="9" t="n">
        <v>3</v>
      </c>
      <c r="C8" s="20" t="n">
        <v>46295</v>
      </c>
      <c r="D8" s="21" t="inlineStr">
        <is>
          <t>Valid Sudoku</t>
        </is>
      </c>
      <c r="E8" s="22" t="inlineStr">
        <is>
          <t>Medium</t>
        </is>
      </c>
      <c r="F8" s="9" t="inlineStr">
        <is>
          <t>Arrays &amp; hashing</t>
        </is>
      </c>
      <c r="G8" s="9">
        <f>IF(Tracker!E4="✓","Yes","")</f>
        <v/>
      </c>
      <c r="H8" s="9" t="inlineStr"/>
      <c r="I8" s="9" t="n"/>
    </row>
    <row r="9">
      <c r="A9" s="9" t="n">
        <v>8</v>
      </c>
      <c r="B9" s="9" t="n">
        <v>3</v>
      </c>
      <c r="C9" s="20" t="n">
        <v>46295</v>
      </c>
      <c r="D9" s="21" t="inlineStr">
        <is>
          <t>Majority Element II</t>
        </is>
      </c>
      <c r="E9" s="22" t="inlineStr">
        <is>
          <t>Medium</t>
        </is>
      </c>
      <c r="F9" s="9" t="inlineStr">
        <is>
          <t>Arrays &amp; hashing</t>
        </is>
      </c>
      <c r="G9" s="9">
        <f>IF(Tracker!F4="✓","Yes","")</f>
        <v/>
      </c>
      <c r="H9" s="9" t="inlineStr"/>
      <c r="I9" s="9" t="n"/>
    </row>
    <row r="10">
      <c r="A10" s="9" t="n">
        <v>9</v>
      </c>
      <c r="B10" s="9" t="n">
        <v>3</v>
      </c>
      <c r="C10" s="20" t="n">
        <v>46295</v>
      </c>
      <c r="D10" s="21" t="inlineStr">
        <is>
          <t>Count of Smaller Numbers After Self</t>
        </is>
      </c>
      <c r="E10" s="23" t="inlineStr">
        <is>
          <t>Hard</t>
        </is>
      </c>
      <c r="F10" s="9" t="inlineStr">
        <is>
          <t>Arrays &amp; hashing</t>
        </is>
      </c>
      <c r="G10" s="9">
        <f>IF(Tracker!G4="✓","Yes","")</f>
        <v/>
      </c>
      <c r="H10" s="9" t="inlineStr"/>
      <c r="I10" s="9" t="n"/>
    </row>
    <row r="11">
      <c r="A11" s="9" t="n">
        <v>10</v>
      </c>
      <c r="B11" s="9" t="n">
        <v>4</v>
      </c>
      <c r="C11" s="20" t="n">
        <v>46296</v>
      </c>
      <c r="D11" s="21" t="inlineStr">
        <is>
          <t>3Sum</t>
        </is>
      </c>
      <c r="E11" s="22" t="inlineStr">
        <is>
          <t>Medium</t>
        </is>
      </c>
      <c r="F11" s="9" t="inlineStr">
        <is>
          <t>Two pointers</t>
        </is>
      </c>
      <c r="G11" s="9">
        <f>IF(Tracker!E5="✓","Yes","")</f>
        <v/>
      </c>
      <c r="H11" s="9" t="inlineStr"/>
      <c r="I11" s="9" t="n"/>
    </row>
    <row r="12">
      <c r="A12" s="9" t="n">
        <v>11</v>
      </c>
      <c r="B12" s="9" t="n">
        <v>4</v>
      </c>
      <c r="C12" s="20" t="n">
        <v>46296</v>
      </c>
      <c r="D12" s="21" t="inlineStr">
        <is>
          <t>Container With Most Water</t>
        </is>
      </c>
      <c r="E12" s="22" t="inlineStr">
        <is>
          <t>Medium</t>
        </is>
      </c>
      <c r="F12" s="9" t="inlineStr">
        <is>
          <t>Two pointers</t>
        </is>
      </c>
      <c r="G12" s="9">
        <f>IF(Tracker!F5="✓","Yes","")</f>
        <v/>
      </c>
      <c r="H12" s="9" t="inlineStr"/>
      <c r="I12" s="9" t="n"/>
    </row>
    <row r="13">
      <c r="A13" s="9" t="n">
        <v>12</v>
      </c>
      <c r="B13" s="9" t="n">
        <v>4</v>
      </c>
      <c r="C13" s="20" t="n">
        <v>46296</v>
      </c>
      <c r="D13" s="21" t="inlineStr">
        <is>
          <t>Trapping Rain Water</t>
        </is>
      </c>
      <c r="E13" s="23" t="inlineStr">
        <is>
          <t>Hard</t>
        </is>
      </c>
      <c r="F13" s="9" t="inlineStr">
        <is>
          <t>Two pointers</t>
        </is>
      </c>
      <c r="G13" s="9">
        <f>IF(Tracker!G5="✓","Yes","")</f>
        <v/>
      </c>
      <c r="H13" s="9" t="inlineStr"/>
      <c r="I13" s="9" t="n"/>
    </row>
    <row r="14">
      <c r="A14" s="9" t="n">
        <v>13</v>
      </c>
      <c r="B14" s="9" t="n">
        <v>5</v>
      </c>
      <c r="C14" s="20" t="n">
        <v>46297</v>
      </c>
      <c r="D14" s="21" t="inlineStr">
        <is>
          <t>Two Sum II - Input Array Is Sorted</t>
        </is>
      </c>
      <c r="E14" s="22" t="inlineStr">
        <is>
          <t>Medium</t>
        </is>
      </c>
      <c r="F14" s="9" t="inlineStr">
        <is>
          <t>Two pointers</t>
        </is>
      </c>
      <c r="G14" s="9">
        <f>IF(Tracker!E6="✓","Yes","")</f>
        <v/>
      </c>
      <c r="H14" s="9" t="inlineStr"/>
      <c r="I14" s="9" t="n"/>
    </row>
    <row r="15">
      <c r="A15" s="9" t="n">
        <v>14</v>
      </c>
      <c r="B15" s="9" t="n">
        <v>5</v>
      </c>
      <c r="C15" s="20" t="n">
        <v>46297</v>
      </c>
      <c r="D15" s="21" t="inlineStr">
        <is>
          <t>4Sum</t>
        </is>
      </c>
      <c r="E15" s="22" t="inlineStr">
        <is>
          <t>Medium</t>
        </is>
      </c>
      <c r="F15" s="9" t="inlineStr">
        <is>
          <t>Two pointers</t>
        </is>
      </c>
      <c r="G15" s="9">
        <f>IF(Tracker!F6="✓","Yes","")</f>
        <v/>
      </c>
      <c r="H15" s="9" t="inlineStr"/>
      <c r="I15" s="9" t="n"/>
    </row>
    <row r="16">
      <c r="A16" s="9" t="n">
        <v>15</v>
      </c>
      <c r="B16" s="9" t="n">
        <v>5</v>
      </c>
      <c r="C16" s="20" t="n">
        <v>46297</v>
      </c>
      <c r="D16" s="21" t="inlineStr">
        <is>
          <t>Reverse Pairs</t>
        </is>
      </c>
      <c r="E16" s="23" t="inlineStr">
        <is>
          <t>Hard</t>
        </is>
      </c>
      <c r="F16" s="9" t="inlineStr">
        <is>
          <t>Two pointers</t>
        </is>
      </c>
      <c r="G16" s="9">
        <f>IF(Tracker!G6="✓","Yes","")</f>
        <v/>
      </c>
      <c r="H16" s="9" t="inlineStr"/>
      <c r="I16" s="9" t="n"/>
    </row>
    <row r="17">
      <c r="A17" s="9" t="n">
        <v>16</v>
      </c>
      <c r="B17" s="9" t="n">
        <v>6</v>
      </c>
      <c r="C17" s="20" t="n">
        <v>46298</v>
      </c>
      <c r="D17" s="21" t="inlineStr">
        <is>
          <t>Sort Colors</t>
        </is>
      </c>
      <c r="E17" s="22" t="inlineStr">
        <is>
          <t>Medium</t>
        </is>
      </c>
      <c r="F17" s="9" t="inlineStr">
        <is>
          <t>Two pointers</t>
        </is>
      </c>
      <c r="G17" s="9">
        <f>IF(Tracker!E7="✓","Yes","")</f>
        <v/>
      </c>
      <c r="H17" s="9" t="inlineStr"/>
      <c r="I17" s="9" t="n"/>
    </row>
    <row r="18">
      <c r="A18" s="9" t="n">
        <v>17</v>
      </c>
      <c r="B18" s="9" t="n">
        <v>6</v>
      </c>
      <c r="C18" s="20" t="n">
        <v>46298</v>
      </c>
      <c r="D18" s="21" t="inlineStr">
        <is>
          <t>Boats to Save People</t>
        </is>
      </c>
      <c r="E18" s="22" t="inlineStr">
        <is>
          <t>Medium</t>
        </is>
      </c>
      <c r="F18" s="9" t="inlineStr">
        <is>
          <t>Two pointers</t>
        </is>
      </c>
      <c r="G18" s="9">
        <f>IF(Tracker!F7="✓","Yes","")</f>
        <v/>
      </c>
      <c r="H18" s="9" t="inlineStr"/>
      <c r="I18" s="9" t="n"/>
    </row>
    <row r="19">
      <c r="A19" s="9" t="n">
        <v>18</v>
      </c>
      <c r="B19" s="9" t="n">
        <v>6</v>
      </c>
      <c r="C19" s="20" t="n">
        <v>46298</v>
      </c>
      <c r="D19" s="21" t="inlineStr">
        <is>
          <t>Maximum Score of a Good Subarray</t>
        </is>
      </c>
      <c r="E19" s="23" t="inlineStr">
        <is>
          <t>Hard</t>
        </is>
      </c>
      <c r="F19" s="9" t="inlineStr">
        <is>
          <t>Two pointers</t>
        </is>
      </c>
      <c r="G19" s="9">
        <f>IF(Tracker!G7="✓","Yes","")</f>
        <v/>
      </c>
      <c r="H19" s="9" t="inlineStr"/>
      <c r="I19" s="9" t="n"/>
    </row>
    <row r="20">
      <c r="A20" s="9" t="n">
        <v>19</v>
      </c>
      <c r="B20" s="9" t="n">
        <v>7</v>
      </c>
      <c r="C20" s="20" t="n">
        <v>46299</v>
      </c>
      <c r="D20" s="21" t="inlineStr">
        <is>
          <t>Longest Substring Without Repeating Characters</t>
        </is>
      </c>
      <c r="E20" s="22" t="inlineStr">
        <is>
          <t>Medium</t>
        </is>
      </c>
      <c r="F20" s="9" t="inlineStr">
        <is>
          <t>Sliding window</t>
        </is>
      </c>
      <c r="G20" s="9">
        <f>IF(Tracker!E8="✓","Yes","")</f>
        <v/>
      </c>
      <c r="H20" s="9" t="inlineStr"/>
      <c r="I20" s="9" t="n"/>
    </row>
    <row r="21">
      <c r="A21" s="9" t="n">
        <v>20</v>
      </c>
      <c r="B21" s="9" t="n">
        <v>7</v>
      </c>
      <c r="C21" s="20" t="n">
        <v>46299</v>
      </c>
      <c r="D21" s="21" t="inlineStr">
        <is>
          <t>Longest Repeating Character Replacement</t>
        </is>
      </c>
      <c r="E21" s="22" t="inlineStr">
        <is>
          <t>Medium</t>
        </is>
      </c>
      <c r="F21" s="9" t="inlineStr">
        <is>
          <t>Sliding window</t>
        </is>
      </c>
      <c r="G21" s="9">
        <f>IF(Tracker!F8="✓","Yes","")</f>
        <v/>
      </c>
      <c r="H21" s="9" t="inlineStr"/>
      <c r="I21" s="9" t="n"/>
    </row>
    <row r="22">
      <c r="A22" s="9" t="n">
        <v>21</v>
      </c>
      <c r="B22" s="9" t="n">
        <v>7</v>
      </c>
      <c r="C22" s="20" t="n">
        <v>46299</v>
      </c>
      <c r="D22" s="21" t="inlineStr">
        <is>
          <t>Minimum Window Substring</t>
        </is>
      </c>
      <c r="E22" s="23" t="inlineStr">
        <is>
          <t>Hard</t>
        </is>
      </c>
      <c r="F22" s="9" t="inlineStr">
        <is>
          <t>Sliding window</t>
        </is>
      </c>
      <c r="G22" s="9">
        <f>IF(Tracker!G8="✓","Yes","")</f>
        <v/>
      </c>
      <c r="H22" s="9" t="inlineStr"/>
      <c r="I22" s="9" t="n"/>
    </row>
    <row r="23">
      <c r="A23" s="9" t="n">
        <v>22</v>
      </c>
      <c r="B23" s="9" t="n">
        <v>8</v>
      </c>
      <c r="C23" s="20" t="n">
        <v>46300</v>
      </c>
      <c r="D23" s="21" t="inlineStr">
        <is>
          <t>Permutation in String</t>
        </is>
      </c>
      <c r="E23" s="22" t="inlineStr">
        <is>
          <t>Medium</t>
        </is>
      </c>
      <c r="F23" s="9" t="inlineStr">
        <is>
          <t>Sliding window</t>
        </is>
      </c>
      <c r="G23" s="9">
        <f>IF(Tracker!E9="✓","Yes","")</f>
        <v/>
      </c>
      <c r="H23" s="9" t="inlineStr"/>
      <c r="I23" s="9" t="n"/>
    </row>
    <row r="24">
      <c r="A24" s="9" t="n">
        <v>23</v>
      </c>
      <c r="B24" s="9" t="n">
        <v>8</v>
      </c>
      <c r="C24" s="20" t="n">
        <v>46300</v>
      </c>
      <c r="D24" s="21" t="inlineStr">
        <is>
          <t>Fruit Into Baskets</t>
        </is>
      </c>
      <c r="E24" s="22" t="inlineStr">
        <is>
          <t>Medium</t>
        </is>
      </c>
      <c r="F24" s="9" t="inlineStr">
        <is>
          <t>Sliding window</t>
        </is>
      </c>
      <c r="G24" s="9">
        <f>IF(Tracker!F9="✓","Yes","")</f>
        <v/>
      </c>
      <c r="H24" s="9" t="inlineStr"/>
      <c r="I24" s="9" t="n"/>
    </row>
    <row r="25">
      <c r="A25" s="9" t="n">
        <v>24</v>
      </c>
      <c r="B25" s="9" t="n">
        <v>8</v>
      </c>
      <c r="C25" s="20" t="n">
        <v>46300</v>
      </c>
      <c r="D25" s="21" t="inlineStr">
        <is>
          <t>Sliding Window Maximum</t>
        </is>
      </c>
      <c r="E25" s="23" t="inlineStr">
        <is>
          <t>Hard</t>
        </is>
      </c>
      <c r="F25" s="9" t="inlineStr">
        <is>
          <t>Sliding window</t>
        </is>
      </c>
      <c r="G25" s="9">
        <f>IF(Tracker!G9="✓","Yes","")</f>
        <v/>
      </c>
      <c r="H25" s="9" t="inlineStr"/>
      <c r="I25" s="9" t="n"/>
    </row>
    <row r="26">
      <c r="A26" s="9" t="n">
        <v>25</v>
      </c>
      <c r="B26" s="9" t="n">
        <v>9</v>
      </c>
      <c r="C26" s="20" t="n">
        <v>46301</v>
      </c>
      <c r="D26" s="21" t="inlineStr">
        <is>
          <t>Max Consecutive Ones III</t>
        </is>
      </c>
      <c r="E26" s="22" t="inlineStr">
        <is>
          <t>Medium</t>
        </is>
      </c>
      <c r="F26" s="9" t="inlineStr">
        <is>
          <t>Sliding window</t>
        </is>
      </c>
      <c r="G26" s="9">
        <f>IF(Tracker!E10="✓","Yes","")</f>
        <v/>
      </c>
      <c r="H26" s="9" t="inlineStr"/>
      <c r="I26" s="9" t="n"/>
    </row>
    <row r="27">
      <c r="A27" s="9" t="n">
        <v>26</v>
      </c>
      <c r="B27" s="9" t="n">
        <v>9</v>
      </c>
      <c r="C27" s="20" t="n">
        <v>46301</v>
      </c>
      <c r="D27" s="21" t="inlineStr">
        <is>
          <t>Minimum Size Subarray Sum</t>
        </is>
      </c>
      <c r="E27" s="22" t="inlineStr">
        <is>
          <t>Medium</t>
        </is>
      </c>
      <c r="F27" s="9" t="inlineStr">
        <is>
          <t>Sliding window</t>
        </is>
      </c>
      <c r="G27" s="9">
        <f>IF(Tracker!F10="✓","Yes","")</f>
        <v/>
      </c>
      <c r="H27" s="9" t="inlineStr"/>
      <c r="I27" s="9" t="n"/>
    </row>
    <row r="28">
      <c r="A28" s="9" t="n">
        <v>27</v>
      </c>
      <c r="B28" s="9" t="n">
        <v>9</v>
      </c>
      <c r="C28" s="20" t="n">
        <v>46301</v>
      </c>
      <c r="D28" s="21" t="inlineStr">
        <is>
          <t>Substring with Concatenation of All Words</t>
        </is>
      </c>
      <c r="E28" s="23" t="inlineStr">
        <is>
          <t>Hard</t>
        </is>
      </c>
      <c r="F28" s="9" t="inlineStr">
        <is>
          <t>Sliding window</t>
        </is>
      </c>
      <c r="G28" s="9">
        <f>IF(Tracker!G10="✓","Yes","")</f>
        <v/>
      </c>
      <c r="H28" s="9" t="inlineStr"/>
      <c r="I28" s="9" t="n"/>
    </row>
    <row r="29">
      <c r="A29" s="9" t="n">
        <v>28</v>
      </c>
      <c r="B29" s="9" t="n">
        <v>10</v>
      </c>
      <c r="C29" s="20" t="n">
        <v>46302</v>
      </c>
      <c r="D29" s="21" t="inlineStr">
        <is>
          <t>Min Stack</t>
        </is>
      </c>
      <c r="E29" s="22" t="inlineStr">
        <is>
          <t>Medium</t>
        </is>
      </c>
      <c r="F29" s="9" t="inlineStr">
        <is>
          <t>Stack</t>
        </is>
      </c>
      <c r="G29" s="9">
        <f>IF(Tracker!E11="✓","Yes","")</f>
        <v/>
      </c>
      <c r="H29" s="9" t="inlineStr"/>
      <c r="I29" s="9" t="n"/>
    </row>
    <row r="30">
      <c r="A30" s="9" t="n">
        <v>29</v>
      </c>
      <c r="B30" s="9" t="n">
        <v>10</v>
      </c>
      <c r="C30" s="20" t="n">
        <v>46302</v>
      </c>
      <c r="D30" s="21" t="inlineStr">
        <is>
          <t>Evaluate Reverse Polish Notation</t>
        </is>
      </c>
      <c r="E30" s="22" t="inlineStr">
        <is>
          <t>Medium</t>
        </is>
      </c>
      <c r="F30" s="9" t="inlineStr">
        <is>
          <t>Stack</t>
        </is>
      </c>
      <c r="G30" s="9">
        <f>IF(Tracker!F11="✓","Yes","")</f>
        <v/>
      </c>
      <c r="H30" s="9" t="inlineStr"/>
      <c r="I30" s="9" t="n"/>
    </row>
    <row r="31">
      <c r="A31" s="9" t="n">
        <v>30</v>
      </c>
      <c r="B31" s="9" t="n">
        <v>10</v>
      </c>
      <c r="C31" s="20" t="n">
        <v>46302</v>
      </c>
      <c r="D31" s="21" t="inlineStr">
        <is>
          <t>Basic Calculator</t>
        </is>
      </c>
      <c r="E31" s="23" t="inlineStr">
        <is>
          <t>Hard</t>
        </is>
      </c>
      <c r="F31" s="9" t="inlineStr">
        <is>
          <t>Stack</t>
        </is>
      </c>
      <c r="G31" s="9">
        <f>IF(Tracker!G11="✓","Yes","")</f>
        <v/>
      </c>
      <c r="H31" s="9" t="inlineStr"/>
      <c r="I31" s="9" t="n"/>
    </row>
    <row r="32">
      <c r="A32" s="9" t="n">
        <v>31</v>
      </c>
      <c r="B32" s="9" t="n">
        <v>11</v>
      </c>
      <c r="C32" s="20" t="n">
        <v>46303</v>
      </c>
      <c r="D32" s="21" t="inlineStr">
        <is>
          <t>Daily Temperatures</t>
        </is>
      </c>
      <c r="E32" s="22" t="inlineStr">
        <is>
          <t>Medium</t>
        </is>
      </c>
      <c r="F32" s="9" t="inlineStr">
        <is>
          <t>Stack</t>
        </is>
      </c>
      <c r="G32" s="9">
        <f>IF(Tracker!E12="✓","Yes","")</f>
        <v/>
      </c>
      <c r="H32" s="9" t="inlineStr"/>
      <c r="I32" s="9" t="n"/>
    </row>
    <row r="33">
      <c r="A33" s="9" t="n">
        <v>32</v>
      </c>
      <c r="B33" s="9" t="n">
        <v>11</v>
      </c>
      <c r="C33" s="20" t="n">
        <v>46303</v>
      </c>
      <c r="D33" s="21" t="inlineStr">
        <is>
          <t>Car Fleet</t>
        </is>
      </c>
      <c r="E33" s="22" t="inlineStr">
        <is>
          <t>Medium</t>
        </is>
      </c>
      <c r="F33" s="9" t="inlineStr">
        <is>
          <t>Stack</t>
        </is>
      </c>
      <c r="G33" s="9">
        <f>IF(Tracker!F12="✓","Yes","")</f>
        <v/>
      </c>
      <c r="H33" s="9" t="inlineStr"/>
      <c r="I33" s="9" t="n"/>
    </row>
    <row r="34">
      <c r="A34" s="9" t="n">
        <v>33</v>
      </c>
      <c r="B34" s="9" t="n">
        <v>11</v>
      </c>
      <c r="C34" s="20" t="n">
        <v>46303</v>
      </c>
      <c r="D34" s="21" t="inlineStr">
        <is>
          <t>Largest Rectangle in Histogram</t>
        </is>
      </c>
      <c r="E34" s="23" t="inlineStr">
        <is>
          <t>Hard</t>
        </is>
      </c>
      <c r="F34" s="9" t="inlineStr">
        <is>
          <t>Stack</t>
        </is>
      </c>
      <c r="G34" s="9">
        <f>IF(Tracker!G12="✓","Yes","")</f>
        <v/>
      </c>
      <c r="H34" s="9" t="inlineStr"/>
      <c r="I34" s="9" t="n"/>
    </row>
    <row r="35">
      <c r="A35" s="9" t="n">
        <v>34</v>
      </c>
      <c r="B35" s="9" t="n">
        <v>12</v>
      </c>
      <c r="C35" s="20" t="n">
        <v>46304</v>
      </c>
      <c r="D35" s="21" t="inlineStr">
        <is>
          <t>Decode String</t>
        </is>
      </c>
      <c r="E35" s="22" t="inlineStr">
        <is>
          <t>Medium</t>
        </is>
      </c>
      <c r="F35" s="9" t="inlineStr">
        <is>
          <t>Stack</t>
        </is>
      </c>
      <c r="G35" s="9">
        <f>IF(Tracker!E13="✓","Yes","")</f>
        <v/>
      </c>
      <c r="H35" s="9" t="inlineStr"/>
      <c r="I35" s="9" t="n"/>
    </row>
    <row r="36">
      <c r="A36" s="9" t="n">
        <v>35</v>
      </c>
      <c r="B36" s="9" t="n">
        <v>12</v>
      </c>
      <c r="C36" s="20" t="n">
        <v>46304</v>
      </c>
      <c r="D36" s="21" t="inlineStr">
        <is>
          <t>Asteroid Collision</t>
        </is>
      </c>
      <c r="E36" s="22" t="inlineStr">
        <is>
          <t>Medium</t>
        </is>
      </c>
      <c r="F36" s="9" t="inlineStr">
        <is>
          <t>Stack</t>
        </is>
      </c>
      <c r="G36" s="9">
        <f>IF(Tracker!F13="✓","Yes","")</f>
        <v/>
      </c>
      <c r="H36" s="9" t="inlineStr"/>
      <c r="I36" s="9" t="n"/>
    </row>
    <row r="37">
      <c r="A37" s="9" t="n">
        <v>36</v>
      </c>
      <c r="B37" s="9" t="n">
        <v>12</v>
      </c>
      <c r="C37" s="20" t="n">
        <v>46304</v>
      </c>
      <c r="D37" s="21" t="inlineStr">
        <is>
          <t>Longest Valid Parentheses</t>
        </is>
      </c>
      <c r="E37" s="23" t="inlineStr">
        <is>
          <t>Hard</t>
        </is>
      </c>
      <c r="F37" s="9" t="inlineStr">
        <is>
          <t>Stack</t>
        </is>
      </c>
      <c r="G37" s="9">
        <f>IF(Tracker!G13="✓","Yes","")</f>
        <v/>
      </c>
      <c r="H37" s="9" t="inlineStr"/>
      <c r="I37" s="9" t="n"/>
    </row>
    <row r="38">
      <c r="A38" s="9" t="n">
        <v>37</v>
      </c>
      <c r="B38" s="9" t="n">
        <v>13</v>
      </c>
      <c r="C38" s="20" t="n">
        <v>46305</v>
      </c>
      <c r="D38" s="21" t="inlineStr">
        <is>
          <t>Online Stock Span</t>
        </is>
      </c>
      <c r="E38" s="22" t="inlineStr">
        <is>
          <t>Medium</t>
        </is>
      </c>
      <c r="F38" s="9" t="inlineStr">
        <is>
          <t>Stack</t>
        </is>
      </c>
      <c r="G38" s="9">
        <f>IF(Tracker!E14="✓","Yes","")</f>
        <v/>
      </c>
      <c r="H38" s="9" t="inlineStr"/>
      <c r="I38" s="9" t="n"/>
    </row>
    <row r="39">
      <c r="A39" s="9" t="n">
        <v>38</v>
      </c>
      <c r="B39" s="9" t="n">
        <v>13</v>
      </c>
      <c r="C39" s="20" t="n">
        <v>46305</v>
      </c>
      <c r="D39" s="21" t="inlineStr">
        <is>
          <t>Remove K Digits</t>
        </is>
      </c>
      <c r="E39" s="22" t="inlineStr">
        <is>
          <t>Medium</t>
        </is>
      </c>
      <c r="F39" s="9" t="inlineStr">
        <is>
          <t>Stack</t>
        </is>
      </c>
      <c r="G39" s="9">
        <f>IF(Tracker!F14="✓","Yes","")</f>
        <v/>
      </c>
      <c r="H39" s="9" t="inlineStr"/>
      <c r="I39" s="9" t="n"/>
    </row>
    <row r="40">
      <c r="A40" s="9" t="n">
        <v>39</v>
      </c>
      <c r="B40" s="9" t="n">
        <v>13</v>
      </c>
      <c r="C40" s="20" t="n">
        <v>46305</v>
      </c>
      <c r="D40" s="21" t="inlineStr">
        <is>
          <t>Maximal Rectangle</t>
        </is>
      </c>
      <c r="E40" s="23" t="inlineStr">
        <is>
          <t>Hard</t>
        </is>
      </c>
      <c r="F40" s="9" t="inlineStr">
        <is>
          <t>Stack</t>
        </is>
      </c>
      <c r="G40" s="9">
        <f>IF(Tracker!G14="✓","Yes","")</f>
        <v/>
      </c>
      <c r="H40" s="9" t="inlineStr"/>
      <c r="I40" s="9" t="n"/>
    </row>
    <row r="41">
      <c r="A41" s="9" t="n">
        <v>40</v>
      </c>
      <c r="B41" s="9" t="n">
        <v>14</v>
      </c>
      <c r="C41" s="20" t="n">
        <v>46306</v>
      </c>
      <c r="D41" s="21" t="inlineStr">
        <is>
          <t>Search a 2D Matrix</t>
        </is>
      </c>
      <c r="E41" s="22" t="inlineStr">
        <is>
          <t>Medium</t>
        </is>
      </c>
      <c r="F41" s="9" t="inlineStr">
        <is>
          <t>Binary search</t>
        </is>
      </c>
      <c r="G41" s="9">
        <f>IF(Tracker!E15="✓","Yes","")</f>
        <v/>
      </c>
      <c r="H41" s="9" t="inlineStr"/>
      <c r="I41" s="9" t="n"/>
    </row>
    <row r="42">
      <c r="A42" s="9" t="n">
        <v>41</v>
      </c>
      <c r="B42" s="9" t="n">
        <v>14</v>
      </c>
      <c r="C42" s="20" t="n">
        <v>46306</v>
      </c>
      <c r="D42" s="21" t="inlineStr">
        <is>
          <t>Koko Eating Bananas</t>
        </is>
      </c>
      <c r="E42" s="22" t="inlineStr">
        <is>
          <t>Medium</t>
        </is>
      </c>
      <c r="F42" s="9" t="inlineStr">
        <is>
          <t>Binary search</t>
        </is>
      </c>
      <c r="G42" s="9">
        <f>IF(Tracker!F15="✓","Yes","")</f>
        <v/>
      </c>
      <c r="H42" s="9" t="inlineStr"/>
      <c r="I42" s="9" t="n"/>
    </row>
    <row r="43">
      <c r="A43" s="9" t="n">
        <v>42</v>
      </c>
      <c r="B43" s="9" t="n">
        <v>14</v>
      </c>
      <c r="C43" s="20" t="n">
        <v>46306</v>
      </c>
      <c r="D43" s="21" t="inlineStr">
        <is>
          <t>Median of Two Sorted Arrays</t>
        </is>
      </c>
      <c r="E43" s="23" t="inlineStr">
        <is>
          <t>Hard</t>
        </is>
      </c>
      <c r="F43" s="9" t="inlineStr">
        <is>
          <t>Binary search</t>
        </is>
      </c>
      <c r="G43" s="9">
        <f>IF(Tracker!G15="✓","Yes","")</f>
        <v/>
      </c>
      <c r="H43" s="9" t="inlineStr"/>
      <c r="I43" s="9" t="n"/>
    </row>
    <row r="44">
      <c r="A44" s="9" t="n">
        <v>43</v>
      </c>
      <c r="B44" s="9" t="n">
        <v>15</v>
      </c>
      <c r="C44" s="20" t="n">
        <v>46307</v>
      </c>
      <c r="D44" s="21" t="inlineStr">
        <is>
          <t>LRU Cache</t>
        </is>
      </c>
      <c r="E44" s="22" t="inlineStr">
        <is>
          <t>Medium</t>
        </is>
      </c>
      <c r="F44" s="9" t="inlineStr">
        <is>
          <t>Linked list</t>
        </is>
      </c>
      <c r="G44" s="9">
        <f>IF(Tracker!E16="✓","Yes","")</f>
        <v/>
      </c>
      <c r="H44" s="9" t="inlineStr"/>
      <c r="I44" s="9" t="n"/>
    </row>
    <row r="45">
      <c r="A45" s="9" t="n">
        <v>44</v>
      </c>
      <c r="B45" s="9" t="n">
        <v>15</v>
      </c>
      <c r="C45" s="20" t="n">
        <v>46307</v>
      </c>
      <c r="D45" s="21" t="inlineStr">
        <is>
          <t>Reorder List</t>
        </is>
      </c>
      <c r="E45" s="22" t="inlineStr">
        <is>
          <t>Medium</t>
        </is>
      </c>
      <c r="F45" s="9" t="inlineStr">
        <is>
          <t>Linked list</t>
        </is>
      </c>
      <c r="G45" s="9">
        <f>IF(Tracker!F16="✓","Yes","")</f>
        <v/>
      </c>
      <c r="H45" s="9" t="inlineStr"/>
      <c r="I45" s="9" t="n"/>
    </row>
    <row r="46">
      <c r="A46" s="9" t="n">
        <v>45</v>
      </c>
      <c r="B46" s="9" t="n">
        <v>15</v>
      </c>
      <c r="C46" s="20" t="n">
        <v>46307</v>
      </c>
      <c r="D46" s="21" t="inlineStr">
        <is>
          <t>Reverse Nodes in k-Group</t>
        </is>
      </c>
      <c r="E46" s="23" t="inlineStr">
        <is>
          <t>Hard</t>
        </is>
      </c>
      <c r="F46" s="9" t="inlineStr">
        <is>
          <t>Linked list</t>
        </is>
      </c>
      <c r="G46" s="9">
        <f>IF(Tracker!G16="✓","Yes","")</f>
        <v/>
      </c>
      <c r="H46" s="9" t="inlineStr"/>
      <c r="I46" s="9" t="n"/>
    </row>
    <row r="47">
      <c r="A47" s="9" t="n">
        <v>46</v>
      </c>
      <c r="B47" s="9" t="n">
        <v>16</v>
      </c>
      <c r="C47" s="20" t="n">
        <v>46308</v>
      </c>
      <c r="D47" s="21" t="inlineStr">
        <is>
          <t>Remove Nth Node From End of List</t>
        </is>
      </c>
      <c r="E47" s="22" t="inlineStr">
        <is>
          <t>Medium</t>
        </is>
      </c>
      <c r="F47" s="9" t="inlineStr">
        <is>
          <t>Linked list</t>
        </is>
      </c>
      <c r="G47" s="9">
        <f>IF(Tracker!E17="✓","Yes","")</f>
        <v/>
      </c>
      <c r="H47" s="9" t="inlineStr"/>
      <c r="I47" s="9" t="n"/>
    </row>
    <row r="48">
      <c r="A48" s="9" t="n">
        <v>47</v>
      </c>
      <c r="B48" s="9" t="n">
        <v>16</v>
      </c>
      <c r="C48" s="20" t="n">
        <v>46308</v>
      </c>
      <c r="D48" s="21" t="inlineStr">
        <is>
          <t>Copy List with Random Pointer</t>
        </is>
      </c>
      <c r="E48" s="22" t="inlineStr">
        <is>
          <t>Medium</t>
        </is>
      </c>
      <c r="F48" s="9" t="inlineStr">
        <is>
          <t>Linked list</t>
        </is>
      </c>
      <c r="G48" s="9">
        <f>IF(Tracker!F17="✓","Yes","")</f>
        <v/>
      </c>
      <c r="H48" s="9" t="inlineStr"/>
      <c r="I48" s="9" t="n"/>
    </row>
    <row r="49">
      <c r="A49" s="9" t="n">
        <v>48</v>
      </c>
      <c r="B49" s="9" t="n">
        <v>16</v>
      </c>
      <c r="C49" s="20" t="n">
        <v>46308</v>
      </c>
      <c r="D49" s="21" t="inlineStr">
        <is>
          <t>Merge k Sorted Lists</t>
        </is>
      </c>
      <c r="E49" s="23" t="inlineStr">
        <is>
          <t>Hard</t>
        </is>
      </c>
      <c r="F49" s="9" t="inlineStr">
        <is>
          <t>Linked list</t>
        </is>
      </c>
      <c r="G49" s="9">
        <f>IF(Tracker!G17="✓","Yes","")</f>
        <v/>
      </c>
      <c r="H49" s="9" t="inlineStr"/>
      <c r="I49" s="9" t="n"/>
    </row>
    <row r="50">
      <c r="A50" s="9" t="n">
        <v>49</v>
      </c>
      <c r="B50" s="9" t="n">
        <v>17</v>
      </c>
      <c r="C50" s="20" t="n">
        <v>46309</v>
      </c>
      <c r="D50" s="21" t="inlineStr">
        <is>
          <t>Add Two Numbers</t>
        </is>
      </c>
      <c r="E50" s="22" t="inlineStr">
        <is>
          <t>Medium</t>
        </is>
      </c>
      <c r="F50" s="9" t="inlineStr">
        <is>
          <t>Linked list</t>
        </is>
      </c>
      <c r="G50" s="9">
        <f>IF(Tracker!E18="✓","Yes","")</f>
        <v/>
      </c>
      <c r="H50" s="9" t="inlineStr"/>
      <c r="I50" s="9" t="n"/>
    </row>
    <row r="51">
      <c r="A51" s="9" t="n">
        <v>50</v>
      </c>
      <c r="B51" s="9" t="n">
        <v>17</v>
      </c>
      <c r="C51" s="20" t="n">
        <v>46309</v>
      </c>
      <c r="D51" s="21" t="inlineStr">
        <is>
          <t>Find the Duplicate Number</t>
        </is>
      </c>
      <c r="E51" s="22" t="inlineStr">
        <is>
          <t>Medium</t>
        </is>
      </c>
      <c r="F51" s="9" t="inlineStr">
        <is>
          <t>Linked list</t>
        </is>
      </c>
      <c r="G51" s="9">
        <f>IF(Tracker!F18="✓","Yes","")</f>
        <v/>
      </c>
      <c r="H51" s="9" t="inlineStr"/>
      <c r="I51" s="9" t="n"/>
    </row>
    <row r="52">
      <c r="A52" s="9" t="n">
        <v>51</v>
      </c>
      <c r="B52" s="9" t="n">
        <v>17</v>
      </c>
      <c r="C52" s="20" t="n">
        <v>46309</v>
      </c>
      <c r="D52" s="21" t="inlineStr">
        <is>
          <t>LFU Cache</t>
        </is>
      </c>
      <c r="E52" s="23" t="inlineStr">
        <is>
          <t>Hard</t>
        </is>
      </c>
      <c r="F52" s="9" t="inlineStr">
        <is>
          <t>Linked list</t>
        </is>
      </c>
      <c r="G52" s="9">
        <f>IF(Tracker!G18="✓","Yes","")</f>
        <v/>
      </c>
      <c r="H52" s="9" t="inlineStr"/>
      <c r="I52" s="9" t="n"/>
    </row>
    <row r="53">
      <c r="A53" s="9" t="n">
        <v>52</v>
      </c>
      <c r="B53" s="9" t="n">
        <v>18</v>
      </c>
      <c r="C53" s="20" t="n">
        <v>46310</v>
      </c>
      <c r="D53" s="21" t="inlineStr">
        <is>
          <t>Search in Rotated Sorted Array</t>
        </is>
      </c>
      <c r="E53" s="22" t="inlineStr">
        <is>
          <t>Medium</t>
        </is>
      </c>
      <c r="F53" s="9" t="inlineStr">
        <is>
          <t>Binary search</t>
        </is>
      </c>
      <c r="G53" s="9">
        <f>IF(Tracker!E19="✓","Yes","")</f>
        <v/>
      </c>
      <c r="H53" s="9" t="inlineStr"/>
      <c r="I53" s="9" t="n"/>
    </row>
    <row r="54">
      <c r="A54" s="9" t="n">
        <v>53</v>
      </c>
      <c r="B54" s="9" t="n">
        <v>18</v>
      </c>
      <c r="C54" s="20" t="n">
        <v>46310</v>
      </c>
      <c r="D54" s="21" t="inlineStr">
        <is>
          <t>Find Minimum in Rotated Sorted Array</t>
        </is>
      </c>
      <c r="E54" s="22" t="inlineStr">
        <is>
          <t>Medium</t>
        </is>
      </c>
      <c r="F54" s="9" t="inlineStr">
        <is>
          <t>Binary search</t>
        </is>
      </c>
      <c r="G54" s="9">
        <f>IF(Tracker!F19="✓","Yes","")</f>
        <v/>
      </c>
      <c r="H54" s="9" t="inlineStr"/>
      <c r="I54" s="9" t="n"/>
    </row>
    <row r="55">
      <c r="A55" s="9" t="n">
        <v>54</v>
      </c>
      <c r="B55" s="9" t="n">
        <v>18</v>
      </c>
      <c r="C55" s="20" t="n">
        <v>46310</v>
      </c>
      <c r="D55" s="21" t="inlineStr">
        <is>
          <t>Find Minimum in Rotated Sorted Array II</t>
        </is>
      </c>
      <c r="E55" s="23" t="inlineStr">
        <is>
          <t>Hard</t>
        </is>
      </c>
      <c r="F55" s="9" t="inlineStr">
        <is>
          <t>Binary search</t>
        </is>
      </c>
      <c r="G55" s="9">
        <f>IF(Tracker!G19="✓","Yes","")</f>
        <v/>
      </c>
      <c r="H55" s="9" t="inlineStr"/>
      <c r="I55" s="9" t="n"/>
    </row>
    <row r="56">
      <c r="A56" s="9" t="n">
        <v>55</v>
      </c>
      <c r="B56" s="9" t="n">
        <v>19</v>
      </c>
      <c r="C56" s="20" t="n">
        <v>46311</v>
      </c>
      <c r="D56" s="21" t="inlineStr">
        <is>
          <t>Time Based Key-Value Store</t>
        </is>
      </c>
      <c r="E56" s="22" t="inlineStr">
        <is>
          <t>Medium</t>
        </is>
      </c>
      <c r="F56" s="9" t="inlineStr">
        <is>
          <t>Binary search</t>
        </is>
      </c>
      <c r="G56" s="9">
        <f>IF(Tracker!E20="✓","Yes","")</f>
        <v/>
      </c>
      <c r="H56" s="9" t="inlineStr"/>
      <c r="I56" s="9" t="n"/>
    </row>
    <row r="57">
      <c r="A57" s="9" t="n">
        <v>56</v>
      </c>
      <c r="B57" s="9" t="n">
        <v>19</v>
      </c>
      <c r="C57" s="20" t="n">
        <v>46311</v>
      </c>
      <c r="D57" s="21" t="inlineStr">
        <is>
          <t>Find First and Last Position of Element in Sorted Array</t>
        </is>
      </c>
      <c r="E57" s="22" t="inlineStr">
        <is>
          <t>Medium</t>
        </is>
      </c>
      <c r="F57" s="9" t="inlineStr">
        <is>
          <t>Binary search</t>
        </is>
      </c>
      <c r="G57" s="9">
        <f>IF(Tracker!F20="✓","Yes","")</f>
        <v/>
      </c>
      <c r="H57" s="9" t="inlineStr"/>
      <c r="I57" s="9" t="n"/>
    </row>
    <row r="58">
      <c r="A58" s="9" t="n">
        <v>57</v>
      </c>
      <c r="B58" s="9" t="n">
        <v>19</v>
      </c>
      <c r="C58" s="20" t="n">
        <v>46311</v>
      </c>
      <c r="D58" s="21" t="inlineStr">
        <is>
          <t>Split Array Largest Sum</t>
        </is>
      </c>
      <c r="E58" s="23" t="inlineStr">
        <is>
          <t>Hard</t>
        </is>
      </c>
      <c r="F58" s="9" t="inlineStr">
        <is>
          <t>Binary search</t>
        </is>
      </c>
      <c r="G58" s="9">
        <f>IF(Tracker!G20="✓","Yes","")</f>
        <v/>
      </c>
      <c r="H58" s="9" t="inlineStr"/>
      <c r="I58" s="9" t="n"/>
    </row>
    <row r="59">
      <c r="A59" s="9" t="n">
        <v>58</v>
      </c>
      <c r="B59" s="9" t="n">
        <v>20</v>
      </c>
      <c r="C59" s="20" t="n">
        <v>46312</v>
      </c>
      <c r="D59" s="21" t="inlineStr">
        <is>
          <t>Rotate List</t>
        </is>
      </c>
      <c r="E59" s="22" t="inlineStr">
        <is>
          <t>Medium</t>
        </is>
      </c>
      <c r="F59" s="9" t="inlineStr">
        <is>
          <t>Linked list</t>
        </is>
      </c>
      <c r="G59" s="9">
        <f>IF(Tracker!E21="✓","Yes","")</f>
        <v/>
      </c>
      <c r="H59" s="9" t="inlineStr"/>
      <c r="I59" s="9" t="n"/>
    </row>
    <row r="60">
      <c r="A60" s="9" t="n">
        <v>59</v>
      </c>
      <c r="B60" s="9" t="n">
        <v>20</v>
      </c>
      <c r="C60" s="20" t="n">
        <v>46312</v>
      </c>
      <c r="D60" s="21" t="inlineStr">
        <is>
          <t>Sort List</t>
        </is>
      </c>
      <c r="E60" s="22" t="inlineStr">
        <is>
          <t>Medium</t>
        </is>
      </c>
      <c r="F60" s="9" t="inlineStr">
        <is>
          <t>Linked list</t>
        </is>
      </c>
      <c r="G60" s="9">
        <f>IF(Tracker!F21="✓","Yes","")</f>
        <v/>
      </c>
      <c r="H60" s="9" t="inlineStr"/>
      <c r="I60" s="9" t="n"/>
    </row>
    <row r="61">
      <c r="A61" s="9" t="n">
        <v>60</v>
      </c>
      <c r="B61" s="9" t="n">
        <v>20</v>
      </c>
      <c r="C61" s="20" t="n">
        <v>46312</v>
      </c>
      <c r="D61" s="21" t="inlineStr">
        <is>
          <t>Design Skiplist</t>
        </is>
      </c>
      <c r="E61" s="23" t="inlineStr">
        <is>
          <t>Hard</t>
        </is>
      </c>
      <c r="F61" s="9" t="inlineStr">
        <is>
          <t>Linked list</t>
        </is>
      </c>
      <c r="G61" s="9">
        <f>IF(Tracker!G21="✓","Yes","")</f>
        <v/>
      </c>
      <c r="H61" s="9" t="inlineStr"/>
      <c r="I61" s="9" t="n"/>
    </row>
    <row r="62">
      <c r="A62" s="9" t="n">
        <v>61</v>
      </c>
      <c r="B62" s="9" t="n">
        <v>21</v>
      </c>
      <c r="C62" s="20" t="n">
        <v>46313</v>
      </c>
      <c r="D62" s="21" t="inlineStr">
        <is>
          <t>Reverse Linked List II</t>
        </is>
      </c>
      <c r="E62" s="22" t="inlineStr">
        <is>
          <t>Medium</t>
        </is>
      </c>
      <c r="F62" s="9" t="inlineStr">
        <is>
          <t>Linked list</t>
        </is>
      </c>
      <c r="G62" s="9">
        <f>IF(Tracker!E22="✓","Yes","")</f>
        <v/>
      </c>
      <c r="H62" s="9" t="inlineStr"/>
      <c r="I62" s="9" t="n"/>
    </row>
    <row r="63">
      <c r="A63" s="9" t="n">
        <v>62</v>
      </c>
      <c r="B63" s="9" t="n">
        <v>21</v>
      </c>
      <c r="C63" s="20" t="n">
        <v>46313</v>
      </c>
      <c r="D63" s="21" t="inlineStr">
        <is>
          <t>Swap Nodes in Pairs</t>
        </is>
      </c>
      <c r="E63" s="22" t="inlineStr">
        <is>
          <t>Medium</t>
        </is>
      </c>
      <c r="F63" s="9" t="inlineStr">
        <is>
          <t>Linked list</t>
        </is>
      </c>
      <c r="G63" s="9">
        <f>IF(Tracker!F22="✓","Yes","")</f>
        <v/>
      </c>
      <c r="H63" s="9" t="inlineStr"/>
      <c r="I63" s="9" t="n"/>
    </row>
    <row r="64">
      <c r="A64" s="9" t="n">
        <v>63</v>
      </c>
      <c r="B64" s="9" t="n">
        <v>21</v>
      </c>
      <c r="C64" s="20" t="n">
        <v>46313</v>
      </c>
      <c r="D64" s="21" t="inlineStr">
        <is>
          <t>All O`one Data Structure</t>
        </is>
      </c>
      <c r="E64" s="23" t="inlineStr">
        <is>
          <t>Hard</t>
        </is>
      </c>
      <c r="F64" s="9" t="inlineStr">
        <is>
          <t>Linked list</t>
        </is>
      </c>
      <c r="G64" s="9">
        <f>IF(Tracker!G22="✓","Yes","")</f>
        <v/>
      </c>
      <c r="H64" s="9" t="inlineStr"/>
      <c r="I64" s="9" t="n"/>
    </row>
    <row r="65">
      <c r="A65" s="9" t="n">
        <v>64</v>
      </c>
      <c r="B65" s="9" t="n">
        <v>22</v>
      </c>
      <c r="C65" s="20" t="n">
        <v>46314</v>
      </c>
      <c r="D65" s="21" t="inlineStr">
        <is>
          <t>Subarray Sum Equals K</t>
        </is>
      </c>
      <c r="E65" s="22" t="inlineStr">
        <is>
          <t>Medium</t>
        </is>
      </c>
      <c r="F65" s="9" t="inlineStr">
        <is>
          <t>Prefix sum</t>
        </is>
      </c>
      <c r="G65" s="9">
        <f>IF(Tracker!E23="✓","Yes","")</f>
        <v/>
      </c>
      <c r="H65" s="9" t="inlineStr"/>
      <c r="I65" s="9" t="n"/>
    </row>
    <row r="66">
      <c r="A66" s="9" t="n">
        <v>65</v>
      </c>
      <c r="B66" s="9" t="n">
        <v>22</v>
      </c>
      <c r="C66" s="20" t="n">
        <v>46314</v>
      </c>
      <c r="D66" s="21" t="inlineStr">
        <is>
          <t>Contiguous Array</t>
        </is>
      </c>
      <c r="E66" s="22" t="inlineStr">
        <is>
          <t>Medium</t>
        </is>
      </c>
      <c r="F66" s="9" t="inlineStr">
        <is>
          <t>Prefix sum</t>
        </is>
      </c>
      <c r="G66" s="9">
        <f>IF(Tracker!F23="✓","Yes","")</f>
        <v/>
      </c>
      <c r="H66" s="9" t="inlineStr"/>
      <c r="I66" s="9" t="n"/>
    </row>
    <row r="67">
      <c r="A67" s="9" t="n">
        <v>66</v>
      </c>
      <c r="B67" s="9" t="n">
        <v>22</v>
      </c>
      <c r="C67" s="20" t="n">
        <v>46314</v>
      </c>
      <c r="D67" s="21" t="inlineStr">
        <is>
          <t>Shortest Subarray with Sum at Least K</t>
        </is>
      </c>
      <c r="E67" s="23" t="inlineStr">
        <is>
          <t>Hard</t>
        </is>
      </c>
      <c r="F67" s="9" t="inlineStr">
        <is>
          <t>Prefix sum</t>
        </is>
      </c>
      <c r="G67" s="9">
        <f>IF(Tracker!G23="✓","Yes","")</f>
        <v/>
      </c>
      <c r="H67" s="9" t="inlineStr"/>
      <c r="I67" s="9" t="n"/>
    </row>
    <row r="68">
      <c r="A68" s="9" t="n">
        <v>67</v>
      </c>
      <c r="B68" s="9" t="n">
        <v>23</v>
      </c>
      <c r="C68" s="20" t="n">
        <v>46315</v>
      </c>
      <c r="D68" s="21" t="inlineStr">
        <is>
          <t>Subarray Sums Divisible by K</t>
        </is>
      </c>
      <c r="E68" s="22" t="inlineStr">
        <is>
          <t>Medium</t>
        </is>
      </c>
      <c r="F68" s="9" t="inlineStr">
        <is>
          <t>Prefix sum</t>
        </is>
      </c>
      <c r="G68" s="9">
        <f>IF(Tracker!E24="✓","Yes","")</f>
        <v/>
      </c>
      <c r="H68" s="9" t="inlineStr"/>
      <c r="I68" s="9" t="n"/>
    </row>
    <row r="69">
      <c r="A69" s="9" t="n">
        <v>68</v>
      </c>
      <c r="B69" s="9" t="n">
        <v>23</v>
      </c>
      <c r="C69" s="20" t="n">
        <v>46315</v>
      </c>
      <c r="D69" s="21" t="inlineStr">
        <is>
          <t>Continuous Subarray Sum</t>
        </is>
      </c>
      <c r="E69" s="22" t="inlineStr">
        <is>
          <t>Medium</t>
        </is>
      </c>
      <c r="F69" s="9" t="inlineStr">
        <is>
          <t>Prefix sum</t>
        </is>
      </c>
      <c r="G69" s="9">
        <f>IF(Tracker!F24="✓","Yes","")</f>
        <v/>
      </c>
      <c r="H69" s="9" t="inlineStr"/>
      <c r="I69" s="9" t="n"/>
    </row>
    <row r="70">
      <c r="A70" s="9" t="n">
        <v>69</v>
      </c>
      <c r="B70" s="9" t="n">
        <v>23</v>
      </c>
      <c r="C70" s="20" t="n">
        <v>46315</v>
      </c>
      <c r="D70" s="21" t="inlineStr">
        <is>
          <t>Number of Submatrices That Sum to Target</t>
        </is>
      </c>
      <c r="E70" s="23" t="inlineStr">
        <is>
          <t>Hard</t>
        </is>
      </c>
      <c r="F70" s="9" t="inlineStr">
        <is>
          <t>Prefix sum</t>
        </is>
      </c>
      <c r="G70" s="9">
        <f>IF(Tracker!G24="✓","Yes","")</f>
        <v/>
      </c>
      <c r="H70" s="9" t="inlineStr"/>
      <c r="I70" s="9" t="n"/>
    </row>
    <row r="71">
      <c r="A71" s="9" t="n">
        <v>70</v>
      </c>
      <c r="B71" s="9" t="n">
        <v>24</v>
      </c>
      <c r="C71" s="20" t="n">
        <v>46316</v>
      </c>
      <c r="D71" s="21" t="inlineStr">
        <is>
          <t>Capacity To Ship Packages Within D Days</t>
        </is>
      </c>
      <c r="E71" s="22" t="inlineStr">
        <is>
          <t>Medium</t>
        </is>
      </c>
      <c r="F71" s="9" t="inlineStr">
        <is>
          <t>Binary search</t>
        </is>
      </c>
      <c r="G71" s="9">
        <f>IF(Tracker!E25="✓","Yes","")</f>
        <v/>
      </c>
      <c r="H71" s="9" t="inlineStr"/>
      <c r="I71" s="9" t="n"/>
    </row>
    <row r="72">
      <c r="A72" s="9" t="n">
        <v>71</v>
      </c>
      <c r="B72" s="9" t="n">
        <v>24</v>
      </c>
      <c r="C72" s="20" t="n">
        <v>46316</v>
      </c>
      <c r="D72" s="21" t="inlineStr">
        <is>
          <t>Find Peak Element</t>
        </is>
      </c>
      <c r="E72" s="22" t="inlineStr">
        <is>
          <t>Medium</t>
        </is>
      </c>
      <c r="F72" s="9" t="inlineStr">
        <is>
          <t>Binary search</t>
        </is>
      </c>
      <c r="G72" s="9">
        <f>IF(Tracker!F25="✓","Yes","")</f>
        <v/>
      </c>
      <c r="H72" s="9" t="inlineStr"/>
      <c r="I72" s="9" t="n"/>
    </row>
    <row r="73">
      <c r="A73" s="9" t="n">
        <v>72</v>
      </c>
      <c r="B73" s="9" t="n">
        <v>24</v>
      </c>
      <c r="C73" s="20" t="n">
        <v>46316</v>
      </c>
      <c r="D73" s="21" t="inlineStr">
        <is>
          <t>Find K-th Smallest Pair Distance</t>
        </is>
      </c>
      <c r="E73" s="23" t="inlineStr">
        <is>
          <t>Hard</t>
        </is>
      </c>
      <c r="F73" s="9" t="inlineStr">
        <is>
          <t>Binary search</t>
        </is>
      </c>
      <c r="G73" s="9">
        <f>IF(Tracker!G25="✓","Yes","")</f>
        <v/>
      </c>
      <c r="H73" s="9" t="inlineStr"/>
      <c r="I73" s="9" t="n"/>
    </row>
    <row r="74">
      <c r="A74" s="9" t="n">
        <v>73</v>
      </c>
      <c r="B74" s="9" t="n">
        <v>25</v>
      </c>
      <c r="C74" s="20" t="n">
        <v>46317</v>
      </c>
      <c r="D74" s="21" t="inlineStr">
        <is>
          <t>Rotate Image</t>
        </is>
      </c>
      <c r="E74" s="22" t="inlineStr">
        <is>
          <t>Medium</t>
        </is>
      </c>
      <c r="F74" s="9" t="inlineStr">
        <is>
          <t>Arrays &amp; matrix</t>
        </is>
      </c>
      <c r="G74" s="9">
        <f>IF(Tracker!E26="✓","Yes","")</f>
        <v/>
      </c>
      <c r="H74" s="9" t="inlineStr"/>
      <c r="I74" s="9" t="n"/>
    </row>
    <row r="75">
      <c r="A75" s="9" t="n">
        <v>74</v>
      </c>
      <c r="B75" s="9" t="n">
        <v>25</v>
      </c>
      <c r="C75" s="20" t="n">
        <v>46317</v>
      </c>
      <c r="D75" s="21" t="inlineStr">
        <is>
          <t>Spiral Matrix</t>
        </is>
      </c>
      <c r="E75" s="22" t="inlineStr">
        <is>
          <t>Medium</t>
        </is>
      </c>
      <c r="F75" s="9" t="inlineStr">
        <is>
          <t>Arrays &amp; matrix</t>
        </is>
      </c>
      <c r="G75" s="9">
        <f>IF(Tracker!F26="✓","Yes","")</f>
        <v/>
      </c>
      <c r="H75" s="9" t="inlineStr"/>
      <c r="I75" s="9" t="n"/>
    </row>
    <row r="76">
      <c r="A76" s="9" t="n">
        <v>75</v>
      </c>
      <c r="B76" s="9" t="n">
        <v>25</v>
      </c>
      <c r="C76" s="20" t="n">
        <v>46317</v>
      </c>
      <c r="D76" s="21" t="inlineStr">
        <is>
          <t>Count of Range Sum</t>
        </is>
      </c>
      <c r="E76" s="23" t="inlineStr">
        <is>
          <t>Hard</t>
        </is>
      </c>
      <c r="F76" s="9" t="inlineStr">
        <is>
          <t>Arrays &amp; matrix</t>
        </is>
      </c>
      <c r="G76" s="9">
        <f>IF(Tracker!G26="✓","Yes","")</f>
        <v/>
      </c>
      <c r="H76" s="9" t="inlineStr"/>
      <c r="I76" s="9" t="n"/>
    </row>
    <row r="77">
      <c r="A77" s="9" t="n">
        <v>76</v>
      </c>
      <c r="B77" s="9" t="n">
        <v>26</v>
      </c>
      <c r="C77" s="20" t="n">
        <v>46318</v>
      </c>
      <c r="D77" s="21" t="inlineStr">
        <is>
          <t>Binary Tree Level Order Traversal</t>
        </is>
      </c>
      <c r="E77" s="22" t="inlineStr">
        <is>
          <t>Medium</t>
        </is>
      </c>
      <c r="F77" s="9" t="inlineStr">
        <is>
          <t>Trees</t>
        </is>
      </c>
      <c r="G77" s="9">
        <f>IF(Tracker!E27="✓","Yes","")</f>
        <v/>
      </c>
      <c r="H77" s="9" t="inlineStr"/>
      <c r="I77" s="9" t="n"/>
    </row>
    <row r="78">
      <c r="A78" s="9" t="n">
        <v>77</v>
      </c>
      <c r="B78" s="9" t="n">
        <v>26</v>
      </c>
      <c r="C78" s="20" t="n">
        <v>46318</v>
      </c>
      <c r="D78" s="21" t="inlineStr">
        <is>
          <t>Validate Binary Search Tree</t>
        </is>
      </c>
      <c r="E78" s="22" t="inlineStr">
        <is>
          <t>Medium</t>
        </is>
      </c>
      <c r="F78" s="9" t="inlineStr">
        <is>
          <t>Trees</t>
        </is>
      </c>
      <c r="G78" s="9">
        <f>IF(Tracker!F27="✓","Yes","")</f>
        <v/>
      </c>
      <c r="H78" s="9" t="inlineStr"/>
      <c r="I78" s="9" t="n"/>
    </row>
    <row r="79">
      <c r="A79" s="9" t="n">
        <v>78</v>
      </c>
      <c r="B79" s="9" t="n">
        <v>26</v>
      </c>
      <c r="C79" s="20" t="n">
        <v>46318</v>
      </c>
      <c r="D79" s="21" t="inlineStr">
        <is>
          <t>Binary Tree Maximum Path Sum</t>
        </is>
      </c>
      <c r="E79" s="23" t="inlineStr">
        <is>
          <t>Hard</t>
        </is>
      </c>
      <c r="F79" s="9" t="inlineStr">
        <is>
          <t>Trees</t>
        </is>
      </c>
      <c r="G79" s="9">
        <f>IF(Tracker!G27="✓","Yes","")</f>
        <v/>
      </c>
      <c r="H79" s="9" t="inlineStr"/>
      <c r="I79" s="9" t="n"/>
    </row>
    <row r="80">
      <c r="A80" s="9" t="n">
        <v>79</v>
      </c>
      <c r="B80" s="9" t="n">
        <v>27</v>
      </c>
      <c r="C80" s="20" t="n">
        <v>46319</v>
      </c>
      <c r="D80" s="21" t="inlineStr">
        <is>
          <t>Construct Binary Tree from Preorder and Inorder Traversal</t>
        </is>
      </c>
      <c r="E80" s="22" t="inlineStr">
        <is>
          <t>Medium</t>
        </is>
      </c>
      <c r="F80" s="9" t="inlineStr">
        <is>
          <t>Trees</t>
        </is>
      </c>
      <c r="G80" s="9">
        <f>IF(Tracker!E28="✓","Yes","")</f>
        <v/>
      </c>
      <c r="H80" s="9" t="inlineStr"/>
      <c r="I80" s="9" t="n"/>
    </row>
    <row r="81">
      <c r="A81" s="9" t="n">
        <v>80</v>
      </c>
      <c r="B81" s="9" t="n">
        <v>27</v>
      </c>
      <c r="C81" s="20" t="n">
        <v>46319</v>
      </c>
      <c r="D81" s="21" t="inlineStr">
        <is>
          <t>Lowest Common Ancestor of a Binary Tree</t>
        </is>
      </c>
      <c r="E81" s="22" t="inlineStr">
        <is>
          <t>Medium</t>
        </is>
      </c>
      <c r="F81" s="9" t="inlineStr">
        <is>
          <t>Trees</t>
        </is>
      </c>
      <c r="G81" s="9">
        <f>IF(Tracker!F28="✓","Yes","")</f>
        <v/>
      </c>
      <c r="H81" s="9" t="inlineStr"/>
      <c r="I81" s="9" t="n"/>
    </row>
    <row r="82">
      <c r="A82" s="9" t="n">
        <v>81</v>
      </c>
      <c r="B82" s="9" t="n">
        <v>27</v>
      </c>
      <c r="C82" s="20" t="n">
        <v>46319</v>
      </c>
      <c r="D82" s="21" t="inlineStr">
        <is>
          <t>Serialize and Deserialize Binary Tree</t>
        </is>
      </c>
      <c r="E82" s="23" t="inlineStr">
        <is>
          <t>Hard</t>
        </is>
      </c>
      <c r="F82" s="9" t="inlineStr">
        <is>
          <t>Trees</t>
        </is>
      </c>
      <c r="G82" s="9">
        <f>IF(Tracker!G28="✓","Yes","")</f>
        <v/>
      </c>
      <c r="H82" s="9" t="inlineStr"/>
      <c r="I82" s="9" t="n"/>
    </row>
    <row r="83">
      <c r="A83" s="9" t="n">
        <v>82</v>
      </c>
      <c r="B83" s="9" t="n">
        <v>28</v>
      </c>
      <c r="C83" s="20" t="n">
        <v>46320</v>
      </c>
      <c r="D83" s="21" t="inlineStr">
        <is>
          <t>Binary Tree Right Side View</t>
        </is>
      </c>
      <c r="E83" s="22" t="inlineStr">
        <is>
          <t>Medium</t>
        </is>
      </c>
      <c r="F83" s="9" t="inlineStr">
        <is>
          <t>Trees</t>
        </is>
      </c>
      <c r="G83" s="9">
        <f>IF(Tracker!E29="✓","Yes","")</f>
        <v/>
      </c>
      <c r="H83" s="9" t="inlineStr"/>
      <c r="I83" s="9" t="n"/>
    </row>
    <row r="84">
      <c r="A84" s="9" t="n">
        <v>83</v>
      </c>
      <c r="B84" s="9" t="n">
        <v>28</v>
      </c>
      <c r="C84" s="20" t="n">
        <v>46320</v>
      </c>
      <c r="D84" s="21" t="inlineStr">
        <is>
          <t>Kth Smallest Element in a BST</t>
        </is>
      </c>
      <c r="E84" s="22" t="inlineStr">
        <is>
          <t>Medium</t>
        </is>
      </c>
      <c r="F84" s="9" t="inlineStr">
        <is>
          <t>Trees</t>
        </is>
      </c>
      <c r="G84" s="9">
        <f>IF(Tracker!F29="✓","Yes","")</f>
        <v/>
      </c>
      <c r="H84" s="9" t="inlineStr"/>
      <c r="I84" s="9" t="n"/>
    </row>
    <row r="85">
      <c r="A85" s="9" t="n">
        <v>84</v>
      </c>
      <c r="B85" s="9" t="n">
        <v>28</v>
      </c>
      <c r="C85" s="20" t="n">
        <v>46320</v>
      </c>
      <c r="D85" s="21" t="inlineStr">
        <is>
          <t>Binary Tree Cameras</t>
        </is>
      </c>
      <c r="E85" s="23" t="inlineStr">
        <is>
          <t>Hard</t>
        </is>
      </c>
      <c r="F85" s="9" t="inlineStr">
        <is>
          <t>Trees</t>
        </is>
      </c>
      <c r="G85" s="9">
        <f>IF(Tracker!G29="✓","Yes","")</f>
        <v/>
      </c>
      <c r="H85" s="9" t="inlineStr"/>
      <c r="I85" s="9" t="n"/>
    </row>
    <row r="86">
      <c r="A86" s="9" t="n">
        <v>85</v>
      </c>
      <c r="B86" s="9" t="n">
        <v>29</v>
      </c>
      <c r="C86" s="20" t="n">
        <v>46321</v>
      </c>
      <c r="D86" s="21" t="inlineStr">
        <is>
          <t>Count Good Nodes in Binary Tree</t>
        </is>
      </c>
      <c r="E86" s="22" t="inlineStr">
        <is>
          <t>Medium</t>
        </is>
      </c>
      <c r="F86" s="9" t="inlineStr">
        <is>
          <t>Trees</t>
        </is>
      </c>
      <c r="G86" s="9">
        <f>IF(Tracker!E30="✓","Yes","")</f>
        <v/>
      </c>
      <c r="H86" s="9" t="inlineStr"/>
      <c r="I86" s="9" t="n"/>
    </row>
    <row r="87">
      <c r="A87" s="9" t="n">
        <v>86</v>
      </c>
      <c r="B87" s="9" t="n">
        <v>29</v>
      </c>
      <c r="C87" s="20" t="n">
        <v>46321</v>
      </c>
      <c r="D87" s="21" t="inlineStr">
        <is>
          <t>Path Sum II</t>
        </is>
      </c>
      <c r="E87" s="22" t="inlineStr">
        <is>
          <t>Medium</t>
        </is>
      </c>
      <c r="F87" s="9" t="inlineStr">
        <is>
          <t>Trees</t>
        </is>
      </c>
      <c r="G87" s="9">
        <f>IF(Tracker!F30="✓","Yes","")</f>
        <v/>
      </c>
      <c r="H87" s="9" t="inlineStr"/>
      <c r="I87" s="9" t="n"/>
    </row>
    <row r="88">
      <c r="A88" s="9" t="n">
        <v>87</v>
      </c>
      <c r="B88" s="9" t="n">
        <v>29</v>
      </c>
      <c r="C88" s="20" t="n">
        <v>46321</v>
      </c>
      <c r="D88" s="21" t="inlineStr">
        <is>
          <t>Vertical Order Traversal of a Binary Tree</t>
        </is>
      </c>
      <c r="E88" s="23" t="inlineStr">
        <is>
          <t>Hard</t>
        </is>
      </c>
      <c r="F88" s="9" t="inlineStr">
        <is>
          <t>Trees</t>
        </is>
      </c>
      <c r="G88" s="9">
        <f>IF(Tracker!G30="✓","Yes","")</f>
        <v/>
      </c>
      <c r="H88" s="9" t="inlineStr"/>
      <c r="I88" s="9" t="n"/>
    </row>
    <row r="89">
      <c r="A89" s="9" t="n">
        <v>88</v>
      </c>
      <c r="B89" s="9" t="n">
        <v>30</v>
      </c>
      <c r="C89" s="20" t="n">
        <v>46322</v>
      </c>
      <c r="D89" s="21" t="inlineStr">
        <is>
          <t>Flatten Binary Tree to Linked List</t>
        </is>
      </c>
      <c r="E89" s="22" t="inlineStr">
        <is>
          <t>Medium</t>
        </is>
      </c>
      <c r="F89" s="9" t="inlineStr">
        <is>
          <t>Trees</t>
        </is>
      </c>
      <c r="G89" s="9">
        <f>IF(Tracker!E31="✓","Yes","")</f>
        <v/>
      </c>
      <c r="H89" s="9" t="inlineStr"/>
      <c r="I89" s="9" t="n"/>
    </row>
    <row r="90">
      <c r="A90" s="9" t="n">
        <v>89</v>
      </c>
      <c r="B90" s="9" t="n">
        <v>30</v>
      </c>
      <c r="C90" s="20" t="n">
        <v>46322</v>
      </c>
      <c r="D90" s="21" t="inlineStr">
        <is>
          <t>Populating Next Right Pointers in Each Node</t>
        </is>
      </c>
      <c r="E90" s="22" t="inlineStr">
        <is>
          <t>Medium</t>
        </is>
      </c>
      <c r="F90" s="9" t="inlineStr">
        <is>
          <t>Trees</t>
        </is>
      </c>
      <c r="G90" s="9">
        <f>IF(Tracker!F31="✓","Yes","")</f>
        <v/>
      </c>
      <c r="H90" s="9" t="inlineStr"/>
      <c r="I90" s="9" t="n"/>
    </row>
    <row r="91">
      <c r="A91" s="9" t="n">
        <v>90</v>
      </c>
      <c r="B91" s="9" t="n">
        <v>30</v>
      </c>
      <c r="C91" s="20" t="n">
        <v>46322</v>
      </c>
      <c r="D91" s="21" t="inlineStr">
        <is>
          <t>Recover a Tree From Preorder Traversal</t>
        </is>
      </c>
      <c r="E91" s="23" t="inlineStr">
        <is>
          <t>Hard</t>
        </is>
      </c>
      <c r="F91" s="9" t="inlineStr">
        <is>
          <t>Trees</t>
        </is>
      </c>
      <c r="G91" s="9">
        <f>IF(Tracker!G31="✓","Yes","")</f>
        <v/>
      </c>
      <c r="H91" s="9" t="inlineStr"/>
      <c r="I91" s="9" t="n"/>
    </row>
    <row r="92">
      <c r="A92" s="9" t="n">
        <v>91</v>
      </c>
      <c r="B92" s="9" t="n">
        <v>31</v>
      </c>
      <c r="C92" s="20" t="n">
        <v>46323</v>
      </c>
      <c r="D92" s="21" t="inlineStr">
        <is>
          <t>Delete Node in a BST</t>
        </is>
      </c>
      <c r="E92" s="22" t="inlineStr">
        <is>
          <t>Medium</t>
        </is>
      </c>
      <c r="F92" s="9" t="inlineStr">
        <is>
          <t>Trees</t>
        </is>
      </c>
      <c r="G92" s="9">
        <f>IF(Tracker!E32="✓","Yes","")</f>
        <v/>
      </c>
      <c r="H92" s="9" t="inlineStr"/>
      <c r="I92" s="9" t="n"/>
    </row>
    <row r="93">
      <c r="A93" s="9" t="n">
        <v>92</v>
      </c>
      <c r="B93" s="9" t="n">
        <v>31</v>
      </c>
      <c r="C93" s="20" t="n">
        <v>46323</v>
      </c>
      <c r="D93" s="21" t="inlineStr">
        <is>
          <t>All Nodes Distance K in Binary Tree</t>
        </is>
      </c>
      <c r="E93" s="22" t="inlineStr">
        <is>
          <t>Medium</t>
        </is>
      </c>
      <c r="F93" s="9" t="inlineStr">
        <is>
          <t>Trees</t>
        </is>
      </c>
      <c r="G93" s="9">
        <f>IF(Tracker!F32="✓","Yes","")</f>
        <v/>
      </c>
      <c r="H93" s="9" t="inlineStr"/>
      <c r="I93" s="9" t="n"/>
    </row>
    <row r="94">
      <c r="A94" s="9" t="n">
        <v>93</v>
      </c>
      <c r="B94" s="9" t="n">
        <v>31</v>
      </c>
      <c r="C94" s="20" t="n">
        <v>46323</v>
      </c>
      <c r="D94" s="21" t="inlineStr">
        <is>
          <t>Sum of Distances in Tree</t>
        </is>
      </c>
      <c r="E94" s="23" t="inlineStr">
        <is>
          <t>Hard</t>
        </is>
      </c>
      <c r="F94" s="9" t="inlineStr">
        <is>
          <t>Trees</t>
        </is>
      </c>
      <c r="G94" s="9">
        <f>IF(Tracker!G32="✓","Yes","")</f>
        <v/>
      </c>
      <c r="H94" s="9" t="inlineStr"/>
      <c r="I94" s="9" t="n"/>
    </row>
    <row r="95">
      <c r="A95" s="9" t="n">
        <v>94</v>
      </c>
      <c r="B95" s="9" t="n">
        <v>32</v>
      </c>
      <c r="C95" s="20" t="n">
        <v>46324</v>
      </c>
      <c r="D95" s="21" t="inlineStr">
        <is>
          <t>Path Sum III</t>
        </is>
      </c>
      <c r="E95" s="22" t="inlineStr">
        <is>
          <t>Medium</t>
        </is>
      </c>
      <c r="F95" s="9" t="inlineStr">
        <is>
          <t>Trees</t>
        </is>
      </c>
      <c r="G95" s="9">
        <f>IF(Tracker!E33="✓","Yes","")</f>
        <v/>
      </c>
      <c r="H95" s="9" t="inlineStr"/>
      <c r="I95" s="9" t="n"/>
    </row>
    <row r="96">
      <c r="A96" s="9" t="n">
        <v>95</v>
      </c>
      <c r="B96" s="9" t="n">
        <v>32</v>
      </c>
      <c r="C96" s="20" t="n">
        <v>46324</v>
      </c>
      <c r="D96" s="21" t="inlineStr">
        <is>
          <t>Maximum Width of Binary Tree</t>
        </is>
      </c>
      <c r="E96" s="22" t="inlineStr">
        <is>
          <t>Medium</t>
        </is>
      </c>
      <c r="F96" s="9" t="inlineStr">
        <is>
          <t>Trees</t>
        </is>
      </c>
      <c r="G96" s="9">
        <f>IF(Tracker!F33="✓","Yes","")</f>
        <v/>
      </c>
      <c r="H96" s="9" t="inlineStr"/>
      <c r="I96" s="9" t="n"/>
    </row>
    <row r="97">
      <c r="A97" s="9" t="n">
        <v>96</v>
      </c>
      <c r="B97" s="9" t="n">
        <v>32</v>
      </c>
      <c r="C97" s="20" t="n">
        <v>46324</v>
      </c>
      <c r="D97" s="21" t="inlineStr">
        <is>
          <t>Maximum Sum BST in Binary Tree</t>
        </is>
      </c>
      <c r="E97" s="23" t="inlineStr">
        <is>
          <t>Hard</t>
        </is>
      </c>
      <c r="F97" s="9" t="inlineStr">
        <is>
          <t>Trees</t>
        </is>
      </c>
      <c r="G97" s="9">
        <f>IF(Tracker!G33="✓","Yes","")</f>
        <v/>
      </c>
      <c r="H97" s="9" t="inlineStr"/>
      <c r="I97" s="9" t="n"/>
    </row>
    <row r="98">
      <c r="A98" s="9" t="n">
        <v>97</v>
      </c>
      <c r="B98" s="9" t="n">
        <v>33</v>
      </c>
      <c r="C98" s="20" t="n">
        <v>46325</v>
      </c>
      <c r="D98" s="21" t="inlineStr">
        <is>
          <t>Binary Tree Zigzag Level Order Traversal</t>
        </is>
      </c>
      <c r="E98" s="22" t="inlineStr">
        <is>
          <t>Medium</t>
        </is>
      </c>
      <c r="F98" s="9" t="inlineStr">
        <is>
          <t>Trees</t>
        </is>
      </c>
      <c r="G98" s="9">
        <f>IF(Tracker!E34="✓","Yes","")</f>
        <v/>
      </c>
      <c r="H98" s="9" t="inlineStr"/>
      <c r="I98" s="9" t="n"/>
    </row>
    <row r="99">
      <c r="A99" s="9" t="n">
        <v>98</v>
      </c>
      <c r="B99" s="9" t="n">
        <v>33</v>
      </c>
      <c r="C99" s="20" t="n">
        <v>46325</v>
      </c>
      <c r="D99" s="21" t="inlineStr">
        <is>
          <t>Lowest Common Ancestor of a Binary Search Tree</t>
        </is>
      </c>
      <c r="E99" s="22" t="inlineStr">
        <is>
          <t>Medium</t>
        </is>
      </c>
      <c r="F99" s="9" t="inlineStr">
        <is>
          <t>Trees</t>
        </is>
      </c>
      <c r="G99" s="9">
        <f>IF(Tracker!F34="✓","Yes","")</f>
        <v/>
      </c>
      <c r="H99" s="9" t="inlineStr"/>
      <c r="I99" s="9" t="n"/>
    </row>
    <row r="100">
      <c r="A100" s="9" t="n">
        <v>99</v>
      </c>
      <c r="B100" s="9" t="n">
        <v>33</v>
      </c>
      <c r="C100" s="20" t="n">
        <v>46325</v>
      </c>
      <c r="D100" s="21" t="inlineStr">
        <is>
          <t>Kth Ancestor of a Tree Node</t>
        </is>
      </c>
      <c r="E100" s="23" t="inlineStr">
        <is>
          <t>Hard</t>
        </is>
      </c>
      <c r="F100" s="9" t="inlineStr">
        <is>
          <t>Trees</t>
        </is>
      </c>
      <c r="G100" s="9">
        <f>IF(Tracker!G34="✓","Yes","")</f>
        <v/>
      </c>
      <c r="H100" s="9" t="inlineStr"/>
      <c r="I100" s="9" t="n"/>
    </row>
    <row r="101">
      <c r="A101" s="9" t="n">
        <v>100</v>
      </c>
      <c r="B101" s="9" t="n">
        <v>34</v>
      </c>
      <c r="C101" s="20" t="n">
        <v>46326</v>
      </c>
      <c r="D101" s="21" t="inlineStr">
        <is>
          <t>Unique Binary Search Trees II</t>
        </is>
      </c>
      <c r="E101" s="22" t="inlineStr">
        <is>
          <t>Medium</t>
        </is>
      </c>
      <c r="F101" s="9" t="inlineStr">
        <is>
          <t>Trees</t>
        </is>
      </c>
      <c r="G101" s="9">
        <f>IF(Tracker!E35="✓","Yes","")</f>
        <v/>
      </c>
      <c r="H101" s="9" t="inlineStr"/>
      <c r="I101" s="9" t="n"/>
    </row>
    <row r="102">
      <c r="A102" s="9" t="n">
        <v>101</v>
      </c>
      <c r="B102" s="9" t="n">
        <v>34</v>
      </c>
      <c r="C102" s="20" t="n">
        <v>46326</v>
      </c>
      <c r="D102" s="21" t="inlineStr">
        <is>
          <t>Sum Root to Leaf Numbers</t>
        </is>
      </c>
      <c r="E102" s="22" t="inlineStr">
        <is>
          <t>Medium</t>
        </is>
      </c>
      <c r="F102" s="9" t="inlineStr">
        <is>
          <t>Trees</t>
        </is>
      </c>
      <c r="G102" s="9">
        <f>IF(Tracker!F35="✓","Yes","")</f>
        <v/>
      </c>
      <c r="H102" s="9" t="inlineStr"/>
      <c r="I102" s="9" t="n"/>
    </row>
    <row r="103">
      <c r="A103" s="9" t="n">
        <v>102</v>
      </c>
      <c r="B103" s="9" t="n">
        <v>34</v>
      </c>
      <c r="C103" s="20" t="n">
        <v>46326</v>
      </c>
      <c r="D103" s="21" t="inlineStr">
        <is>
          <t>Longest Path With Different Adjacent Characters</t>
        </is>
      </c>
      <c r="E103" s="23" t="inlineStr">
        <is>
          <t>Hard</t>
        </is>
      </c>
      <c r="F103" s="9" t="inlineStr">
        <is>
          <t>Trees</t>
        </is>
      </c>
      <c r="G103" s="9">
        <f>IF(Tracker!G35="✓","Yes","")</f>
        <v/>
      </c>
      <c r="H103" s="9" t="inlineStr"/>
      <c r="I103" s="9" t="n"/>
    </row>
    <row r="104">
      <c r="A104" s="9" t="n">
        <v>103</v>
      </c>
      <c r="B104" s="9" t="n">
        <v>35</v>
      </c>
      <c r="C104" s="20" t="n">
        <v>46327</v>
      </c>
      <c r="D104" s="21" t="inlineStr">
        <is>
          <t>Kth Largest Element in an Array</t>
        </is>
      </c>
      <c r="E104" s="22" t="inlineStr">
        <is>
          <t>Medium</t>
        </is>
      </c>
      <c r="F104" s="9" t="inlineStr">
        <is>
          <t>Heap / priority queue</t>
        </is>
      </c>
      <c r="G104" s="9">
        <f>IF(Tracker!E36="✓","Yes","")</f>
        <v/>
      </c>
      <c r="H104" s="9" t="inlineStr"/>
      <c r="I104" s="9" t="n"/>
    </row>
    <row r="105">
      <c r="A105" s="9" t="n">
        <v>104</v>
      </c>
      <c r="B105" s="9" t="n">
        <v>35</v>
      </c>
      <c r="C105" s="20" t="n">
        <v>46327</v>
      </c>
      <c r="D105" s="21" t="inlineStr">
        <is>
          <t>K Closest Points to Origin</t>
        </is>
      </c>
      <c r="E105" s="22" t="inlineStr">
        <is>
          <t>Medium</t>
        </is>
      </c>
      <c r="F105" s="9" t="inlineStr">
        <is>
          <t>Heap / priority queue</t>
        </is>
      </c>
      <c r="G105" s="9">
        <f>IF(Tracker!F36="✓","Yes","")</f>
        <v/>
      </c>
      <c r="H105" s="9" t="inlineStr"/>
      <c r="I105" s="9" t="n"/>
    </row>
    <row r="106">
      <c r="A106" s="9" t="n">
        <v>105</v>
      </c>
      <c r="B106" s="9" t="n">
        <v>35</v>
      </c>
      <c r="C106" s="20" t="n">
        <v>46327</v>
      </c>
      <c r="D106" s="21" t="inlineStr">
        <is>
          <t>Find Median from Data Stream</t>
        </is>
      </c>
      <c r="E106" s="23" t="inlineStr">
        <is>
          <t>Hard</t>
        </is>
      </c>
      <c r="F106" s="9" t="inlineStr">
        <is>
          <t>Heap / priority queue</t>
        </is>
      </c>
      <c r="G106" s="9">
        <f>IF(Tracker!G36="✓","Yes","")</f>
        <v/>
      </c>
      <c r="H106" s="9" t="inlineStr"/>
      <c r="I106" s="9" t="n"/>
    </row>
    <row r="107">
      <c r="A107" s="9" t="n">
        <v>106</v>
      </c>
      <c r="B107" s="9" t="n">
        <v>36</v>
      </c>
      <c r="C107" s="20" t="n">
        <v>46328</v>
      </c>
      <c r="D107" s="21" t="inlineStr">
        <is>
          <t>Task Scheduler</t>
        </is>
      </c>
      <c r="E107" s="22" t="inlineStr">
        <is>
          <t>Medium</t>
        </is>
      </c>
      <c r="F107" s="9" t="inlineStr">
        <is>
          <t>Heap / priority queue</t>
        </is>
      </c>
      <c r="G107" s="9">
        <f>IF(Tracker!E37="✓","Yes","")</f>
        <v/>
      </c>
      <c r="H107" s="9" t="inlineStr"/>
      <c r="I107" s="9" t="n"/>
    </row>
    <row r="108">
      <c r="A108" s="9" t="n">
        <v>107</v>
      </c>
      <c r="B108" s="9" t="n">
        <v>36</v>
      </c>
      <c r="C108" s="20" t="n">
        <v>46328</v>
      </c>
      <c r="D108" s="21" t="inlineStr">
        <is>
          <t>Design Twitter</t>
        </is>
      </c>
      <c r="E108" s="22" t="inlineStr">
        <is>
          <t>Medium</t>
        </is>
      </c>
      <c r="F108" s="9" t="inlineStr">
        <is>
          <t>Heap / priority queue</t>
        </is>
      </c>
      <c r="G108" s="9">
        <f>IF(Tracker!F37="✓","Yes","")</f>
        <v/>
      </c>
      <c r="H108" s="9" t="inlineStr"/>
      <c r="I108" s="9" t="n"/>
    </row>
    <row r="109">
      <c r="A109" s="9" t="n">
        <v>108</v>
      </c>
      <c r="B109" s="9" t="n">
        <v>36</v>
      </c>
      <c r="C109" s="20" t="n">
        <v>46328</v>
      </c>
      <c r="D109" s="21" t="inlineStr">
        <is>
          <t>IPO</t>
        </is>
      </c>
      <c r="E109" s="23" t="inlineStr">
        <is>
          <t>Hard</t>
        </is>
      </c>
      <c r="F109" s="9" t="inlineStr">
        <is>
          <t>Heap / priority queue</t>
        </is>
      </c>
      <c r="G109" s="9">
        <f>IF(Tracker!G37="✓","Yes","")</f>
        <v/>
      </c>
      <c r="H109" s="9" t="inlineStr"/>
      <c r="I109" s="9" t="n"/>
    </row>
    <row r="110">
      <c r="A110" s="9" t="n">
        <v>109</v>
      </c>
      <c r="B110" s="9" t="n">
        <v>37</v>
      </c>
      <c r="C110" s="20" t="n">
        <v>46329</v>
      </c>
      <c r="D110" s="21" t="inlineStr">
        <is>
          <t>Reorganize String</t>
        </is>
      </c>
      <c r="E110" s="22" t="inlineStr">
        <is>
          <t>Medium</t>
        </is>
      </c>
      <c r="F110" s="9" t="inlineStr">
        <is>
          <t>Heap / priority queue</t>
        </is>
      </c>
      <c r="G110" s="9">
        <f>IF(Tracker!E38="✓","Yes","")</f>
        <v/>
      </c>
      <c r="H110" s="9" t="inlineStr"/>
      <c r="I110" s="9" t="n"/>
    </row>
    <row r="111">
      <c r="A111" s="9" t="n">
        <v>110</v>
      </c>
      <c r="B111" s="9" t="n">
        <v>37</v>
      </c>
      <c r="C111" s="20" t="n">
        <v>46329</v>
      </c>
      <c r="D111" s="21" t="inlineStr">
        <is>
          <t>Top K Frequent Words</t>
        </is>
      </c>
      <c r="E111" s="22" t="inlineStr">
        <is>
          <t>Medium</t>
        </is>
      </c>
      <c r="F111" s="9" t="inlineStr">
        <is>
          <t>Heap / priority queue</t>
        </is>
      </c>
      <c r="G111" s="9">
        <f>IF(Tracker!F38="✓","Yes","")</f>
        <v/>
      </c>
      <c r="H111" s="9" t="inlineStr"/>
      <c r="I111" s="9" t="n"/>
    </row>
    <row r="112">
      <c r="A112" s="9" t="n">
        <v>111</v>
      </c>
      <c r="B112" s="9" t="n">
        <v>37</v>
      </c>
      <c r="C112" s="20" t="n">
        <v>46329</v>
      </c>
      <c r="D112" s="21" t="inlineStr">
        <is>
          <t>Sliding Window Median</t>
        </is>
      </c>
      <c r="E112" s="23" t="inlineStr">
        <is>
          <t>Hard</t>
        </is>
      </c>
      <c r="F112" s="9" t="inlineStr">
        <is>
          <t>Heap / priority queue</t>
        </is>
      </c>
      <c r="G112" s="9">
        <f>IF(Tracker!G38="✓","Yes","")</f>
        <v/>
      </c>
      <c r="H112" s="9" t="inlineStr"/>
      <c r="I112" s="9" t="n"/>
    </row>
    <row r="113">
      <c r="A113" s="9" t="n">
        <v>112</v>
      </c>
      <c r="B113" s="9" t="n">
        <v>38</v>
      </c>
      <c r="C113" s="20" t="n">
        <v>46330</v>
      </c>
      <c r="D113" s="21" t="inlineStr">
        <is>
          <t>Number of Islands</t>
        </is>
      </c>
      <c r="E113" s="22" t="inlineStr">
        <is>
          <t>Medium</t>
        </is>
      </c>
      <c r="F113" s="9" t="inlineStr">
        <is>
          <t>Graphs (BFS / DFS / union-find)</t>
        </is>
      </c>
      <c r="G113" s="9">
        <f>IF(Tracker!E39="✓","Yes","")</f>
        <v/>
      </c>
      <c r="H113" s="9" t="inlineStr"/>
      <c r="I113" s="9" t="n"/>
    </row>
    <row r="114">
      <c r="A114" s="9" t="n">
        <v>113</v>
      </c>
      <c r="B114" s="9" t="n">
        <v>38</v>
      </c>
      <c r="C114" s="20" t="n">
        <v>46330</v>
      </c>
      <c r="D114" s="21" t="inlineStr">
        <is>
          <t>Clone Graph</t>
        </is>
      </c>
      <c r="E114" s="22" t="inlineStr">
        <is>
          <t>Medium</t>
        </is>
      </c>
      <c r="F114" s="9" t="inlineStr">
        <is>
          <t>Graphs (BFS / DFS / union-find)</t>
        </is>
      </c>
      <c r="G114" s="9">
        <f>IF(Tracker!F39="✓","Yes","")</f>
        <v/>
      </c>
      <c r="H114" s="9" t="inlineStr"/>
      <c r="I114" s="9" t="n"/>
    </row>
    <row r="115">
      <c r="A115" s="9" t="n">
        <v>114</v>
      </c>
      <c r="B115" s="9" t="n">
        <v>38</v>
      </c>
      <c r="C115" s="20" t="n">
        <v>46330</v>
      </c>
      <c r="D115" s="21" t="inlineStr">
        <is>
          <t>Word Ladder</t>
        </is>
      </c>
      <c r="E115" s="23" t="inlineStr">
        <is>
          <t>Hard</t>
        </is>
      </c>
      <c r="F115" s="9" t="inlineStr">
        <is>
          <t>Graphs (BFS / DFS / union-find)</t>
        </is>
      </c>
      <c r="G115" s="9">
        <f>IF(Tracker!G39="✓","Yes","")</f>
        <v/>
      </c>
      <c r="H115" s="9" t="inlineStr"/>
      <c r="I115" s="9" t="n"/>
    </row>
    <row r="116">
      <c r="A116" s="9" t="n">
        <v>115</v>
      </c>
      <c r="B116" s="9" t="n">
        <v>39</v>
      </c>
      <c r="C116" s="20" t="n">
        <v>46331</v>
      </c>
      <c r="D116" s="21" t="inlineStr">
        <is>
          <t>Rotting Oranges</t>
        </is>
      </c>
      <c r="E116" s="22" t="inlineStr">
        <is>
          <t>Medium</t>
        </is>
      </c>
      <c r="F116" s="9" t="inlineStr">
        <is>
          <t>Graphs (BFS / DFS / union-find)</t>
        </is>
      </c>
      <c r="G116" s="9">
        <f>IF(Tracker!E40="✓","Yes","")</f>
        <v/>
      </c>
      <c r="H116" s="9" t="inlineStr"/>
      <c r="I116" s="9" t="n"/>
    </row>
    <row r="117">
      <c r="A117" s="9" t="n">
        <v>116</v>
      </c>
      <c r="B117" s="9" t="n">
        <v>39</v>
      </c>
      <c r="C117" s="20" t="n">
        <v>46331</v>
      </c>
      <c r="D117" s="21" t="inlineStr">
        <is>
          <t>Pacific Atlantic Water Flow</t>
        </is>
      </c>
      <c r="E117" s="22" t="inlineStr">
        <is>
          <t>Medium</t>
        </is>
      </c>
      <c r="F117" s="9" t="inlineStr">
        <is>
          <t>Graphs (BFS / DFS / union-find)</t>
        </is>
      </c>
      <c r="G117" s="9">
        <f>IF(Tracker!F40="✓","Yes","")</f>
        <v/>
      </c>
      <c r="H117" s="9" t="inlineStr"/>
      <c r="I117" s="9" t="n"/>
    </row>
    <row r="118">
      <c r="A118" s="9" t="n">
        <v>117</v>
      </c>
      <c r="B118" s="9" t="n">
        <v>39</v>
      </c>
      <c r="C118" s="20" t="n">
        <v>46331</v>
      </c>
      <c r="D118" s="21" t="inlineStr">
        <is>
          <t>Shortest Path in a Grid with Obstacles Elimination</t>
        </is>
      </c>
      <c r="E118" s="23" t="inlineStr">
        <is>
          <t>Hard</t>
        </is>
      </c>
      <c r="F118" s="9" t="inlineStr">
        <is>
          <t>Graphs (BFS / DFS / union-find)</t>
        </is>
      </c>
      <c r="G118" s="9">
        <f>IF(Tracker!G40="✓","Yes","")</f>
        <v/>
      </c>
      <c r="H118" s="9" t="inlineStr"/>
      <c r="I118" s="9" t="n"/>
    </row>
    <row r="119">
      <c r="A119" s="9" t="n">
        <v>118</v>
      </c>
      <c r="B119" s="9" t="n">
        <v>40</v>
      </c>
      <c r="C119" s="20" t="n">
        <v>46332</v>
      </c>
      <c r="D119" s="21" t="inlineStr">
        <is>
          <t>Course Schedule</t>
        </is>
      </c>
      <c r="E119" s="22" t="inlineStr">
        <is>
          <t>Medium</t>
        </is>
      </c>
      <c r="F119" s="9" t="inlineStr">
        <is>
          <t>Graphs (BFS / DFS / union-find)</t>
        </is>
      </c>
      <c r="G119" s="9">
        <f>IF(Tracker!E41="✓","Yes","")</f>
        <v/>
      </c>
      <c r="H119" s="9" t="inlineStr"/>
      <c r="I119" s="9" t="n"/>
    </row>
    <row r="120">
      <c r="A120" s="9" t="n">
        <v>119</v>
      </c>
      <c r="B120" s="9" t="n">
        <v>40</v>
      </c>
      <c r="C120" s="20" t="n">
        <v>46332</v>
      </c>
      <c r="D120" s="21" t="inlineStr">
        <is>
          <t>Course Schedule II</t>
        </is>
      </c>
      <c r="E120" s="22" t="inlineStr">
        <is>
          <t>Medium</t>
        </is>
      </c>
      <c r="F120" s="9" t="inlineStr">
        <is>
          <t>Graphs (BFS / DFS / union-find)</t>
        </is>
      </c>
      <c r="G120" s="9">
        <f>IF(Tracker!F41="✓","Yes","")</f>
        <v/>
      </c>
      <c r="H120" s="9" t="inlineStr"/>
      <c r="I120" s="9" t="n"/>
    </row>
    <row r="121">
      <c r="A121" s="9" t="n">
        <v>120</v>
      </c>
      <c r="B121" s="9" t="n">
        <v>40</v>
      </c>
      <c r="C121" s="20" t="n">
        <v>46332</v>
      </c>
      <c r="D121" s="21" t="inlineStr">
        <is>
          <t>Critical Connections in a Network</t>
        </is>
      </c>
      <c r="E121" s="23" t="inlineStr">
        <is>
          <t>Hard</t>
        </is>
      </c>
      <c r="F121" s="9" t="inlineStr">
        <is>
          <t>Graphs (BFS / DFS / union-find)</t>
        </is>
      </c>
      <c r="G121" s="9">
        <f>IF(Tracker!G41="✓","Yes","")</f>
        <v/>
      </c>
      <c r="H121" s="9" t="inlineStr"/>
      <c r="I121" s="9" t="n"/>
    </row>
    <row r="122">
      <c r="A122" s="9" t="n">
        <v>121</v>
      </c>
      <c r="B122" s="9" t="n">
        <v>41</v>
      </c>
      <c r="C122" s="20" t="n">
        <v>46333</v>
      </c>
      <c r="D122" s="21" t="inlineStr">
        <is>
          <t>Redundant Connection</t>
        </is>
      </c>
      <c r="E122" s="22" t="inlineStr">
        <is>
          <t>Medium</t>
        </is>
      </c>
      <c r="F122" s="9" t="inlineStr">
        <is>
          <t>Graphs (BFS / DFS / union-find)</t>
        </is>
      </c>
      <c r="G122" s="9">
        <f>IF(Tracker!E42="✓","Yes","")</f>
        <v/>
      </c>
      <c r="H122" s="9" t="inlineStr"/>
      <c r="I122" s="9" t="n"/>
    </row>
    <row r="123">
      <c r="A123" s="9" t="n">
        <v>122</v>
      </c>
      <c r="B123" s="9" t="n">
        <v>41</v>
      </c>
      <c r="C123" s="20" t="n">
        <v>46333</v>
      </c>
      <c r="D123" s="21" t="inlineStr">
        <is>
          <t>Number of Provinces</t>
        </is>
      </c>
      <c r="E123" s="22" t="inlineStr">
        <is>
          <t>Medium</t>
        </is>
      </c>
      <c r="F123" s="9" t="inlineStr">
        <is>
          <t>Graphs (BFS / DFS / union-find)</t>
        </is>
      </c>
      <c r="G123" s="9">
        <f>IF(Tracker!F42="✓","Yes","")</f>
        <v/>
      </c>
      <c r="H123" s="9" t="inlineStr"/>
      <c r="I123" s="9" t="n"/>
    </row>
    <row r="124">
      <c r="A124" s="9" t="n">
        <v>123</v>
      </c>
      <c r="B124" s="9" t="n">
        <v>41</v>
      </c>
      <c r="C124" s="20" t="n">
        <v>46333</v>
      </c>
      <c r="D124" s="21" t="inlineStr">
        <is>
          <t>Redundant Connection II</t>
        </is>
      </c>
      <c r="E124" s="23" t="inlineStr">
        <is>
          <t>Hard</t>
        </is>
      </c>
      <c r="F124" s="9" t="inlineStr">
        <is>
          <t>Graphs (BFS / DFS / union-find)</t>
        </is>
      </c>
      <c r="G124" s="9">
        <f>IF(Tracker!G42="✓","Yes","")</f>
        <v/>
      </c>
      <c r="H124" s="9" t="inlineStr"/>
      <c r="I124" s="9" t="n"/>
    </row>
    <row r="125">
      <c r="A125" s="9" t="n">
        <v>124</v>
      </c>
      <c r="B125" s="9" t="n">
        <v>42</v>
      </c>
      <c r="C125" s="20" t="n">
        <v>46334</v>
      </c>
      <c r="D125" s="21" t="inlineStr">
        <is>
          <t>Surrounded Regions</t>
        </is>
      </c>
      <c r="E125" s="22" t="inlineStr">
        <is>
          <t>Medium</t>
        </is>
      </c>
      <c r="F125" s="9" t="inlineStr">
        <is>
          <t>Graphs (BFS / DFS / union-find)</t>
        </is>
      </c>
      <c r="G125" s="9">
        <f>IF(Tracker!E43="✓","Yes","")</f>
        <v/>
      </c>
      <c r="H125" s="9" t="inlineStr"/>
      <c r="I125" s="9" t="n"/>
    </row>
    <row r="126">
      <c r="A126" s="9" t="n">
        <v>125</v>
      </c>
      <c r="B126" s="9" t="n">
        <v>42</v>
      </c>
      <c r="C126" s="20" t="n">
        <v>46334</v>
      </c>
      <c r="D126" s="21" t="inlineStr">
        <is>
          <t>Open the Lock</t>
        </is>
      </c>
      <c r="E126" s="22" t="inlineStr">
        <is>
          <t>Medium</t>
        </is>
      </c>
      <c r="F126" s="9" t="inlineStr">
        <is>
          <t>Graphs (BFS / DFS / union-find)</t>
        </is>
      </c>
      <c r="G126" s="9">
        <f>IF(Tracker!F43="✓","Yes","")</f>
        <v/>
      </c>
      <c r="H126" s="9" t="inlineStr"/>
      <c r="I126" s="9" t="n"/>
    </row>
    <row r="127">
      <c r="A127" s="9" t="n">
        <v>126</v>
      </c>
      <c r="B127" s="9" t="n">
        <v>42</v>
      </c>
      <c r="C127" s="20" t="n">
        <v>46334</v>
      </c>
      <c r="D127" s="21" t="inlineStr">
        <is>
          <t>Bus Routes</t>
        </is>
      </c>
      <c r="E127" s="23" t="inlineStr">
        <is>
          <t>Hard</t>
        </is>
      </c>
      <c r="F127" s="9" t="inlineStr">
        <is>
          <t>Graphs (BFS / DFS / union-find)</t>
        </is>
      </c>
      <c r="G127" s="9">
        <f>IF(Tracker!G43="✓","Yes","")</f>
        <v/>
      </c>
      <c r="H127" s="9" t="inlineStr"/>
      <c r="I127" s="9" t="n"/>
    </row>
    <row r="128">
      <c r="A128" s="9" t="n">
        <v>127</v>
      </c>
      <c r="B128" s="9" t="n">
        <v>43</v>
      </c>
      <c r="C128" s="20" t="n">
        <v>46335</v>
      </c>
      <c r="D128" s="21" t="inlineStr">
        <is>
          <t>Implement Trie (Prefix Tree)</t>
        </is>
      </c>
      <c r="E128" s="22" t="inlineStr">
        <is>
          <t>Medium</t>
        </is>
      </c>
      <c r="F128" s="9" t="inlineStr">
        <is>
          <t>Trie</t>
        </is>
      </c>
      <c r="G128" s="9">
        <f>IF(Tracker!E44="✓","Yes","")</f>
        <v/>
      </c>
      <c r="H128" s="9" t="inlineStr"/>
      <c r="I128" s="9" t="n"/>
    </row>
    <row r="129">
      <c r="A129" s="9" t="n">
        <v>128</v>
      </c>
      <c r="B129" s="9" t="n">
        <v>43</v>
      </c>
      <c r="C129" s="20" t="n">
        <v>46335</v>
      </c>
      <c r="D129" s="21" t="inlineStr">
        <is>
          <t>Design Add and Search Words Data Structure</t>
        </is>
      </c>
      <c r="E129" s="22" t="inlineStr">
        <is>
          <t>Medium</t>
        </is>
      </c>
      <c r="F129" s="9" t="inlineStr">
        <is>
          <t>Trie</t>
        </is>
      </c>
      <c r="G129" s="9">
        <f>IF(Tracker!F44="✓","Yes","")</f>
        <v/>
      </c>
      <c r="H129" s="9" t="inlineStr"/>
      <c r="I129" s="9" t="n"/>
    </row>
    <row r="130">
      <c r="A130" s="9" t="n">
        <v>129</v>
      </c>
      <c r="B130" s="9" t="n">
        <v>43</v>
      </c>
      <c r="C130" s="20" t="n">
        <v>46335</v>
      </c>
      <c r="D130" s="21" t="inlineStr">
        <is>
          <t>Word Search II</t>
        </is>
      </c>
      <c r="E130" s="23" t="inlineStr">
        <is>
          <t>Hard</t>
        </is>
      </c>
      <c r="F130" s="9" t="inlineStr">
        <is>
          <t>Trie</t>
        </is>
      </c>
      <c r="G130" s="9">
        <f>IF(Tracker!G44="✓","Yes","")</f>
        <v/>
      </c>
      <c r="H130" s="9" t="inlineStr"/>
      <c r="I130" s="9" t="n"/>
    </row>
    <row r="131">
      <c r="A131" s="9" t="n">
        <v>130</v>
      </c>
      <c r="B131" s="9" t="n">
        <v>44</v>
      </c>
      <c r="C131" s="20" t="n">
        <v>46336</v>
      </c>
      <c r="D131" s="21" t="inlineStr">
        <is>
          <t>Search Suggestions System</t>
        </is>
      </c>
      <c r="E131" s="22" t="inlineStr">
        <is>
          <t>Medium</t>
        </is>
      </c>
      <c r="F131" s="9" t="inlineStr">
        <is>
          <t>Trie</t>
        </is>
      </c>
      <c r="G131" s="9">
        <f>IF(Tracker!E45="✓","Yes","")</f>
        <v/>
      </c>
      <c r="H131" s="9" t="inlineStr"/>
      <c r="I131" s="9" t="n"/>
    </row>
    <row r="132">
      <c r="A132" s="9" t="n">
        <v>131</v>
      </c>
      <c r="B132" s="9" t="n">
        <v>44</v>
      </c>
      <c r="C132" s="20" t="n">
        <v>46336</v>
      </c>
      <c r="D132" s="21" t="inlineStr">
        <is>
          <t>Replace Words</t>
        </is>
      </c>
      <c r="E132" s="22" t="inlineStr">
        <is>
          <t>Medium</t>
        </is>
      </c>
      <c r="F132" s="9" t="inlineStr">
        <is>
          <t>Trie</t>
        </is>
      </c>
      <c r="G132" s="9">
        <f>IF(Tracker!F45="✓","Yes","")</f>
        <v/>
      </c>
      <c r="H132" s="9" t="inlineStr"/>
      <c r="I132" s="9" t="n"/>
    </row>
    <row r="133">
      <c r="A133" s="9" t="n">
        <v>132</v>
      </c>
      <c r="B133" s="9" t="n">
        <v>44</v>
      </c>
      <c r="C133" s="20" t="n">
        <v>46336</v>
      </c>
      <c r="D133" s="21" t="inlineStr">
        <is>
          <t>Palindrome Pairs</t>
        </is>
      </c>
      <c r="E133" s="23" t="inlineStr">
        <is>
          <t>Hard</t>
        </is>
      </c>
      <c r="F133" s="9" t="inlineStr">
        <is>
          <t>Trie</t>
        </is>
      </c>
      <c r="G133" s="9">
        <f>IF(Tracker!G45="✓","Yes","")</f>
        <v/>
      </c>
      <c r="H133" s="9" t="inlineStr"/>
      <c r="I133" s="9" t="n"/>
    </row>
    <row r="134">
      <c r="A134" s="9" t="n">
        <v>133</v>
      </c>
      <c r="B134" s="9" t="n">
        <v>45</v>
      </c>
      <c r="C134" s="20" t="n">
        <v>46337</v>
      </c>
      <c r="D134" s="21" t="inlineStr">
        <is>
          <t>Merge Intervals</t>
        </is>
      </c>
      <c r="E134" s="22" t="inlineStr">
        <is>
          <t>Medium</t>
        </is>
      </c>
      <c r="F134" s="9" t="inlineStr">
        <is>
          <t>Intervals</t>
        </is>
      </c>
      <c r="G134" s="9">
        <f>IF(Tracker!E46="✓","Yes","")</f>
        <v/>
      </c>
      <c r="H134" s="9" t="inlineStr"/>
      <c r="I134" s="9" t="n"/>
    </row>
    <row r="135">
      <c r="A135" s="9" t="n">
        <v>134</v>
      </c>
      <c r="B135" s="9" t="n">
        <v>45</v>
      </c>
      <c r="C135" s="20" t="n">
        <v>46337</v>
      </c>
      <c r="D135" s="21" t="inlineStr">
        <is>
          <t>Insert Interval</t>
        </is>
      </c>
      <c r="E135" s="22" t="inlineStr">
        <is>
          <t>Medium</t>
        </is>
      </c>
      <c r="F135" s="9" t="inlineStr">
        <is>
          <t>Intervals</t>
        </is>
      </c>
      <c r="G135" s="9">
        <f>IF(Tracker!F46="✓","Yes","")</f>
        <v/>
      </c>
      <c r="H135" s="9" t="inlineStr"/>
      <c r="I135" s="9" t="n"/>
    </row>
    <row r="136">
      <c r="A136" s="9" t="n">
        <v>135</v>
      </c>
      <c r="B136" s="9" t="n">
        <v>45</v>
      </c>
      <c r="C136" s="20" t="n">
        <v>46337</v>
      </c>
      <c r="D136" s="21" t="inlineStr">
        <is>
          <t>The Skyline Problem</t>
        </is>
      </c>
      <c r="E136" s="23" t="inlineStr">
        <is>
          <t>Hard</t>
        </is>
      </c>
      <c r="F136" s="9" t="inlineStr">
        <is>
          <t>Intervals</t>
        </is>
      </c>
      <c r="G136" s="9">
        <f>IF(Tracker!G46="✓","Yes","")</f>
        <v/>
      </c>
      <c r="H136" s="9" t="inlineStr"/>
      <c r="I136" s="9" t="n"/>
    </row>
    <row r="137">
      <c r="A137" s="9" t="n">
        <v>136</v>
      </c>
      <c r="B137" s="9" t="n">
        <v>46</v>
      </c>
      <c r="C137" s="20" t="n">
        <v>46338</v>
      </c>
      <c r="D137" s="21" t="inlineStr">
        <is>
          <t>Non-overlapping Intervals</t>
        </is>
      </c>
      <c r="E137" s="22" t="inlineStr">
        <is>
          <t>Medium</t>
        </is>
      </c>
      <c r="F137" s="9" t="inlineStr">
        <is>
          <t>Intervals</t>
        </is>
      </c>
      <c r="G137" s="9">
        <f>IF(Tracker!E47="✓","Yes","")</f>
        <v/>
      </c>
      <c r="H137" s="9" t="inlineStr"/>
      <c r="I137" s="9" t="n"/>
    </row>
    <row r="138">
      <c r="A138" s="9" t="n">
        <v>137</v>
      </c>
      <c r="B138" s="9" t="n">
        <v>46</v>
      </c>
      <c r="C138" s="20" t="n">
        <v>46338</v>
      </c>
      <c r="D138" s="21" t="inlineStr">
        <is>
          <t>Minimum Number of Arrows to Burst Balloons</t>
        </is>
      </c>
      <c r="E138" s="22" t="inlineStr">
        <is>
          <t>Medium</t>
        </is>
      </c>
      <c r="F138" s="9" t="inlineStr">
        <is>
          <t>Intervals</t>
        </is>
      </c>
      <c r="G138" s="9">
        <f>IF(Tracker!F47="✓","Yes","")</f>
        <v/>
      </c>
      <c r="H138" s="9" t="inlineStr"/>
      <c r="I138" s="9" t="n"/>
    </row>
    <row r="139">
      <c r="A139" s="9" t="n">
        <v>138</v>
      </c>
      <c r="B139" s="9" t="n">
        <v>46</v>
      </c>
      <c r="C139" s="20" t="n">
        <v>46338</v>
      </c>
      <c r="D139" s="21" t="inlineStr">
        <is>
          <t>Minimum Interval to Include Each Query</t>
        </is>
      </c>
      <c r="E139" s="23" t="inlineStr">
        <is>
          <t>Hard</t>
        </is>
      </c>
      <c r="F139" s="9" t="inlineStr">
        <is>
          <t>Intervals</t>
        </is>
      </c>
      <c r="G139" s="9">
        <f>IF(Tracker!G47="✓","Yes","")</f>
        <v/>
      </c>
      <c r="H139" s="9" t="inlineStr"/>
      <c r="I139" s="9" t="n"/>
    </row>
    <row r="140">
      <c r="A140" s="9" t="n">
        <v>139</v>
      </c>
      <c r="B140" s="9" t="n">
        <v>47</v>
      </c>
      <c r="C140" s="20" t="n">
        <v>46339</v>
      </c>
      <c r="D140" s="21" t="inlineStr">
        <is>
          <t>Sum of Two Integers</t>
        </is>
      </c>
      <c r="E140" s="22" t="inlineStr">
        <is>
          <t>Medium</t>
        </is>
      </c>
      <c r="F140" s="9" t="inlineStr">
        <is>
          <t>Bit manipulation</t>
        </is>
      </c>
      <c r="G140" s="9">
        <f>IF(Tracker!E48="✓","Yes","")</f>
        <v/>
      </c>
      <c r="H140" s="9" t="inlineStr"/>
      <c r="I140" s="9" t="n"/>
    </row>
    <row r="141">
      <c r="A141" s="9" t="n">
        <v>140</v>
      </c>
      <c r="B141" s="9" t="n">
        <v>47</v>
      </c>
      <c r="C141" s="20" t="n">
        <v>46339</v>
      </c>
      <c r="D141" s="21" t="inlineStr">
        <is>
          <t>Single Number II</t>
        </is>
      </c>
      <c r="E141" s="22" t="inlineStr">
        <is>
          <t>Medium</t>
        </is>
      </c>
      <c r="F141" s="9" t="inlineStr">
        <is>
          <t>Bit manipulation</t>
        </is>
      </c>
      <c r="G141" s="9">
        <f>IF(Tracker!F48="✓","Yes","")</f>
        <v/>
      </c>
      <c r="H141" s="9" t="inlineStr"/>
      <c r="I141" s="9" t="n"/>
    </row>
    <row r="142">
      <c r="A142" s="9" t="n">
        <v>141</v>
      </c>
      <c r="B142" s="9" t="n">
        <v>47</v>
      </c>
      <c r="C142" s="20" t="n">
        <v>46339</v>
      </c>
      <c r="D142" s="21" t="inlineStr">
        <is>
          <t>Maximum XOR With an Element From Array</t>
        </is>
      </c>
      <c r="E142" s="23" t="inlineStr">
        <is>
          <t>Hard</t>
        </is>
      </c>
      <c r="F142" s="9" t="inlineStr">
        <is>
          <t>Bit manipulation</t>
        </is>
      </c>
      <c r="G142" s="9">
        <f>IF(Tracker!G48="✓","Yes","")</f>
        <v/>
      </c>
      <c r="H142" s="9" t="inlineStr"/>
      <c r="I142" s="9" t="n"/>
    </row>
    <row r="143">
      <c r="A143" s="9" t="n">
        <v>142</v>
      </c>
      <c r="B143" s="9" t="n">
        <v>48</v>
      </c>
      <c r="C143" s="20" t="n">
        <v>46340</v>
      </c>
      <c r="D143" s="21" t="inlineStr">
        <is>
          <t>Network Delay Time</t>
        </is>
      </c>
      <c r="E143" s="22" t="inlineStr">
        <is>
          <t>Medium</t>
        </is>
      </c>
      <c r="F143" s="9" t="inlineStr">
        <is>
          <t>Advanced graphs (Dijkstra / MST)</t>
        </is>
      </c>
      <c r="G143" s="9">
        <f>IF(Tracker!E49="✓","Yes","")</f>
        <v/>
      </c>
      <c r="H143" s="9" t="inlineStr"/>
      <c r="I143" s="9" t="n"/>
    </row>
    <row r="144">
      <c r="A144" s="9" t="n">
        <v>143</v>
      </c>
      <c r="B144" s="9" t="n">
        <v>48</v>
      </c>
      <c r="C144" s="20" t="n">
        <v>46340</v>
      </c>
      <c r="D144" s="21" t="inlineStr">
        <is>
          <t>Cheapest Flights Within K Stops</t>
        </is>
      </c>
      <c r="E144" s="22" t="inlineStr">
        <is>
          <t>Medium</t>
        </is>
      </c>
      <c r="F144" s="9" t="inlineStr">
        <is>
          <t>Advanced graphs (Dijkstra / MST)</t>
        </is>
      </c>
      <c r="G144" s="9">
        <f>IF(Tracker!F49="✓","Yes","")</f>
        <v/>
      </c>
      <c r="H144" s="9" t="inlineStr"/>
      <c r="I144" s="9" t="n"/>
    </row>
    <row r="145">
      <c r="A145" s="9" t="n">
        <v>144</v>
      </c>
      <c r="B145" s="9" t="n">
        <v>48</v>
      </c>
      <c r="C145" s="20" t="n">
        <v>46340</v>
      </c>
      <c r="D145" s="21" t="inlineStr">
        <is>
          <t>Swim in Rising Water</t>
        </is>
      </c>
      <c r="E145" s="23" t="inlineStr">
        <is>
          <t>Hard</t>
        </is>
      </c>
      <c r="F145" s="9" t="inlineStr">
        <is>
          <t>Advanced graphs (Dijkstra / MST)</t>
        </is>
      </c>
      <c r="G145" s="9">
        <f>IF(Tracker!G49="✓","Yes","")</f>
        <v/>
      </c>
      <c r="H145" s="9" t="inlineStr"/>
      <c r="I145" s="9" t="n"/>
    </row>
    <row r="146">
      <c r="A146" s="9" t="n">
        <v>145</v>
      </c>
      <c r="B146" s="9" t="n">
        <v>49</v>
      </c>
      <c r="C146" s="20" t="n">
        <v>46341</v>
      </c>
      <c r="D146" s="21" t="inlineStr">
        <is>
          <t>Maximum XOR of Two Numbers in an Array</t>
        </is>
      </c>
      <c r="E146" s="22" t="inlineStr">
        <is>
          <t>Medium</t>
        </is>
      </c>
      <c r="F146" s="9" t="inlineStr">
        <is>
          <t>Bit manipulation</t>
        </is>
      </c>
      <c r="G146" s="9">
        <f>IF(Tracker!E50="✓","Yes","")</f>
        <v/>
      </c>
      <c r="H146" s="9" t="inlineStr"/>
      <c r="I146" s="9" t="n"/>
    </row>
    <row r="147">
      <c r="A147" s="9" t="n">
        <v>146</v>
      </c>
      <c r="B147" s="9" t="n">
        <v>49</v>
      </c>
      <c r="C147" s="20" t="n">
        <v>46341</v>
      </c>
      <c r="D147" s="21" t="inlineStr">
        <is>
          <t>Bitwise AND of Numbers Range</t>
        </is>
      </c>
      <c r="E147" s="22" t="inlineStr">
        <is>
          <t>Medium</t>
        </is>
      </c>
      <c r="F147" s="9" t="inlineStr">
        <is>
          <t>Bit manipulation</t>
        </is>
      </c>
      <c r="G147" s="9">
        <f>IF(Tracker!F50="✓","Yes","")</f>
        <v/>
      </c>
      <c r="H147" s="9" t="inlineStr"/>
      <c r="I147" s="9" t="n"/>
    </row>
    <row r="148">
      <c r="A148" s="9" t="n">
        <v>147</v>
      </c>
      <c r="B148" s="9" t="n">
        <v>49</v>
      </c>
      <c r="C148" s="20" t="n">
        <v>46341</v>
      </c>
      <c r="D148" s="21" t="inlineStr">
        <is>
          <t>Shortest Path Visiting All Nodes</t>
        </is>
      </c>
      <c r="E148" s="23" t="inlineStr">
        <is>
          <t>Hard</t>
        </is>
      </c>
      <c r="F148" s="9" t="inlineStr">
        <is>
          <t>Bit manipulation</t>
        </is>
      </c>
      <c r="G148" s="9">
        <f>IF(Tracker!G50="✓","Yes","")</f>
        <v/>
      </c>
      <c r="H148" s="9" t="inlineStr"/>
      <c r="I148" s="9" t="n"/>
    </row>
    <row r="149">
      <c r="A149" s="9" t="n">
        <v>148</v>
      </c>
      <c r="B149" s="9" t="n">
        <v>50</v>
      </c>
      <c r="C149" s="20" t="n">
        <v>46342</v>
      </c>
      <c r="D149" s="21" t="inlineStr">
        <is>
          <t>House Robber II</t>
        </is>
      </c>
      <c r="E149" s="22" t="inlineStr">
        <is>
          <t>Medium</t>
        </is>
      </c>
      <c r="F149" s="9" t="inlineStr">
        <is>
          <t>Dynamic programming</t>
        </is>
      </c>
      <c r="G149" s="9">
        <f>IF(Tracker!E51="✓","Yes","")</f>
        <v/>
      </c>
      <c r="H149" s="9" t="inlineStr"/>
      <c r="I149" s="9" t="n"/>
    </row>
    <row r="150">
      <c r="A150" s="9" t="n">
        <v>149</v>
      </c>
      <c r="B150" s="9" t="n">
        <v>50</v>
      </c>
      <c r="C150" s="20" t="n">
        <v>46342</v>
      </c>
      <c r="D150" s="21" t="inlineStr">
        <is>
          <t>Coin Change</t>
        </is>
      </c>
      <c r="E150" s="22" t="inlineStr">
        <is>
          <t>Medium</t>
        </is>
      </c>
      <c r="F150" s="9" t="inlineStr">
        <is>
          <t>Dynamic programming</t>
        </is>
      </c>
      <c r="G150" s="9">
        <f>IF(Tracker!F51="✓","Yes","")</f>
        <v/>
      </c>
      <c r="H150" s="9" t="inlineStr"/>
      <c r="I150" s="9" t="n"/>
    </row>
    <row r="151">
      <c r="A151" s="9" t="n">
        <v>150</v>
      </c>
      <c r="B151" s="9" t="n">
        <v>50</v>
      </c>
      <c r="C151" s="20" t="n">
        <v>46342</v>
      </c>
      <c r="D151" s="21" t="inlineStr">
        <is>
          <t>Burst Balloons</t>
        </is>
      </c>
      <c r="E151" s="23" t="inlineStr">
        <is>
          <t>Hard</t>
        </is>
      </c>
      <c r="F151" s="9" t="inlineStr">
        <is>
          <t>Dynamic programming</t>
        </is>
      </c>
      <c r="G151" s="9">
        <f>IF(Tracker!G51="✓","Yes","")</f>
        <v/>
      </c>
      <c r="H151" s="9" t="inlineStr"/>
      <c r="I151" s="9" t="n"/>
    </row>
    <row r="152">
      <c r="A152" s="9" t="n">
        <v>151</v>
      </c>
      <c r="B152" s="9" t="n">
        <v>51</v>
      </c>
      <c r="C152" s="20" t="n">
        <v>46343</v>
      </c>
      <c r="D152" s="21" t="inlineStr">
        <is>
          <t>Longest Palindromic Substring</t>
        </is>
      </c>
      <c r="E152" s="22" t="inlineStr">
        <is>
          <t>Medium</t>
        </is>
      </c>
      <c r="F152" s="9" t="inlineStr">
        <is>
          <t>Dynamic programming</t>
        </is>
      </c>
      <c r="G152" s="9">
        <f>IF(Tracker!E52="✓","Yes","")</f>
        <v/>
      </c>
      <c r="H152" s="9" t="inlineStr"/>
      <c r="I152" s="9" t="n"/>
    </row>
    <row r="153">
      <c r="A153" s="9" t="n">
        <v>152</v>
      </c>
      <c r="B153" s="9" t="n">
        <v>51</v>
      </c>
      <c r="C153" s="20" t="n">
        <v>46343</v>
      </c>
      <c r="D153" s="21" t="inlineStr">
        <is>
          <t>Decode Ways</t>
        </is>
      </c>
      <c r="E153" s="22" t="inlineStr">
        <is>
          <t>Medium</t>
        </is>
      </c>
      <c r="F153" s="9" t="inlineStr">
        <is>
          <t>Dynamic programming</t>
        </is>
      </c>
      <c r="G153" s="9">
        <f>IF(Tracker!F52="✓","Yes","")</f>
        <v/>
      </c>
      <c r="H153" s="9" t="inlineStr"/>
      <c r="I153" s="9" t="n"/>
    </row>
    <row r="154">
      <c r="A154" s="9" t="n">
        <v>153</v>
      </c>
      <c r="B154" s="9" t="n">
        <v>51</v>
      </c>
      <c r="C154" s="20" t="n">
        <v>46343</v>
      </c>
      <c r="D154" s="21" t="inlineStr">
        <is>
          <t>Regular Expression Matching</t>
        </is>
      </c>
      <c r="E154" s="23" t="inlineStr">
        <is>
          <t>Hard</t>
        </is>
      </c>
      <c r="F154" s="9" t="inlineStr">
        <is>
          <t>Dynamic programming</t>
        </is>
      </c>
      <c r="G154" s="9">
        <f>IF(Tracker!G52="✓","Yes","")</f>
        <v/>
      </c>
      <c r="H154" s="9" t="inlineStr"/>
      <c r="I154" s="9" t="n"/>
    </row>
    <row r="155">
      <c r="A155" s="9" t="n">
        <v>154</v>
      </c>
      <c r="B155" s="9" t="n">
        <v>52</v>
      </c>
      <c r="C155" s="20" t="n">
        <v>46344</v>
      </c>
      <c r="D155" s="21" t="inlineStr">
        <is>
          <t>Word Break</t>
        </is>
      </c>
      <c r="E155" s="22" t="inlineStr">
        <is>
          <t>Medium</t>
        </is>
      </c>
      <c r="F155" s="9" t="inlineStr">
        <is>
          <t>Dynamic programming</t>
        </is>
      </c>
      <c r="G155" s="9">
        <f>IF(Tracker!E53="✓","Yes","")</f>
        <v/>
      </c>
      <c r="H155" s="9" t="inlineStr"/>
      <c r="I155" s="9" t="n"/>
    </row>
    <row r="156">
      <c r="A156" s="9" t="n">
        <v>155</v>
      </c>
      <c r="B156" s="9" t="n">
        <v>52</v>
      </c>
      <c r="C156" s="20" t="n">
        <v>46344</v>
      </c>
      <c r="D156" s="21" t="inlineStr">
        <is>
          <t>Longest Increasing Subsequence</t>
        </is>
      </c>
      <c r="E156" s="22" t="inlineStr">
        <is>
          <t>Medium</t>
        </is>
      </c>
      <c r="F156" s="9" t="inlineStr">
        <is>
          <t>Dynamic programming</t>
        </is>
      </c>
      <c r="G156" s="9">
        <f>IF(Tracker!F53="✓","Yes","")</f>
        <v/>
      </c>
      <c r="H156" s="9" t="inlineStr"/>
      <c r="I156" s="9" t="n"/>
    </row>
    <row r="157">
      <c r="A157" s="9" t="n">
        <v>156</v>
      </c>
      <c r="B157" s="9" t="n">
        <v>52</v>
      </c>
      <c r="C157" s="20" t="n">
        <v>46344</v>
      </c>
      <c r="D157" s="21" t="inlineStr">
        <is>
          <t>Russian Doll Envelopes</t>
        </is>
      </c>
      <c r="E157" s="23" t="inlineStr">
        <is>
          <t>Hard</t>
        </is>
      </c>
      <c r="F157" s="9" t="inlineStr">
        <is>
          <t>Dynamic programming</t>
        </is>
      </c>
      <c r="G157" s="9">
        <f>IF(Tracker!G53="✓","Yes","")</f>
        <v/>
      </c>
      <c r="H157" s="9" t="inlineStr"/>
      <c r="I157" s="9" t="n"/>
    </row>
    <row r="158">
      <c r="A158" s="9" t="n">
        <v>157</v>
      </c>
      <c r="B158" s="9" t="n">
        <v>53</v>
      </c>
      <c r="C158" s="20" t="n">
        <v>46345</v>
      </c>
      <c r="D158" s="21" t="inlineStr">
        <is>
          <t>Partition Equal Subset Sum</t>
        </is>
      </c>
      <c r="E158" s="22" t="inlineStr">
        <is>
          <t>Medium</t>
        </is>
      </c>
      <c r="F158" s="9" t="inlineStr">
        <is>
          <t>Dynamic programming</t>
        </is>
      </c>
      <c r="G158" s="9">
        <f>IF(Tracker!E54="✓","Yes","")</f>
        <v/>
      </c>
      <c r="H158" s="9" t="inlineStr"/>
      <c r="I158" s="9" t="n"/>
    </row>
    <row r="159">
      <c r="A159" s="9" t="n">
        <v>158</v>
      </c>
      <c r="B159" s="9" t="n">
        <v>53</v>
      </c>
      <c r="C159" s="20" t="n">
        <v>46345</v>
      </c>
      <c r="D159" s="21" t="inlineStr">
        <is>
          <t>Maximum Product Subarray</t>
        </is>
      </c>
      <c r="E159" s="22" t="inlineStr">
        <is>
          <t>Medium</t>
        </is>
      </c>
      <c r="F159" s="9" t="inlineStr">
        <is>
          <t>Dynamic programming</t>
        </is>
      </c>
      <c r="G159" s="9">
        <f>IF(Tracker!F54="✓","Yes","")</f>
        <v/>
      </c>
      <c r="H159" s="9" t="inlineStr"/>
      <c r="I159" s="9" t="n"/>
    </row>
    <row r="160">
      <c r="A160" s="9" t="n">
        <v>159</v>
      </c>
      <c r="B160" s="9" t="n">
        <v>53</v>
      </c>
      <c r="C160" s="20" t="n">
        <v>46345</v>
      </c>
      <c r="D160" s="21" t="inlineStr">
        <is>
          <t>Distinct Subsequences</t>
        </is>
      </c>
      <c r="E160" s="23" t="inlineStr">
        <is>
          <t>Hard</t>
        </is>
      </c>
      <c r="F160" s="9" t="inlineStr">
        <is>
          <t>Dynamic programming</t>
        </is>
      </c>
      <c r="G160" s="9">
        <f>IF(Tracker!G54="✓","Yes","")</f>
        <v/>
      </c>
      <c r="H160" s="9" t="inlineStr"/>
      <c r="I160" s="9" t="n"/>
    </row>
    <row r="161">
      <c r="A161" s="9" t="n">
        <v>160</v>
      </c>
      <c r="B161" s="9" t="n">
        <v>54</v>
      </c>
      <c r="C161" s="20" t="n">
        <v>46346</v>
      </c>
      <c r="D161" s="21" t="inlineStr">
        <is>
          <t>Unique Paths</t>
        </is>
      </c>
      <c r="E161" s="22" t="inlineStr">
        <is>
          <t>Medium</t>
        </is>
      </c>
      <c r="F161" s="9" t="inlineStr">
        <is>
          <t>Dynamic programming</t>
        </is>
      </c>
      <c r="G161" s="9">
        <f>IF(Tracker!E55="✓","Yes","")</f>
        <v/>
      </c>
      <c r="H161" s="9" t="inlineStr"/>
      <c r="I161" s="9" t="n"/>
    </row>
    <row r="162">
      <c r="A162" s="9" t="n">
        <v>161</v>
      </c>
      <c r="B162" s="9" t="n">
        <v>54</v>
      </c>
      <c r="C162" s="20" t="n">
        <v>46346</v>
      </c>
      <c r="D162" s="21" t="inlineStr">
        <is>
          <t>Longest Common Subsequence</t>
        </is>
      </c>
      <c r="E162" s="22" t="inlineStr">
        <is>
          <t>Medium</t>
        </is>
      </c>
      <c r="F162" s="9" t="inlineStr">
        <is>
          <t>Dynamic programming</t>
        </is>
      </c>
      <c r="G162" s="9">
        <f>IF(Tracker!F55="✓","Yes","")</f>
        <v/>
      </c>
      <c r="H162" s="9" t="inlineStr"/>
      <c r="I162" s="9" t="n"/>
    </row>
    <row r="163">
      <c r="A163" s="9" t="n">
        <v>162</v>
      </c>
      <c r="B163" s="9" t="n">
        <v>54</v>
      </c>
      <c r="C163" s="20" t="n">
        <v>46346</v>
      </c>
      <c r="D163" s="21" t="inlineStr">
        <is>
          <t>Wildcard Matching</t>
        </is>
      </c>
      <c r="E163" s="23" t="inlineStr">
        <is>
          <t>Hard</t>
        </is>
      </c>
      <c r="F163" s="9" t="inlineStr">
        <is>
          <t>Dynamic programming</t>
        </is>
      </c>
      <c r="G163" s="9">
        <f>IF(Tracker!G55="✓","Yes","")</f>
        <v/>
      </c>
      <c r="H163" s="9" t="inlineStr"/>
      <c r="I163" s="9" t="n"/>
    </row>
    <row r="164">
      <c r="A164" s="9" t="n">
        <v>163</v>
      </c>
      <c r="B164" s="9" t="n">
        <v>55</v>
      </c>
      <c r="C164" s="20" t="n">
        <v>46347</v>
      </c>
      <c r="D164" s="21" t="inlineStr">
        <is>
          <t>Best Time to Buy and Sell Stock with Cooldown</t>
        </is>
      </c>
      <c r="E164" s="22" t="inlineStr">
        <is>
          <t>Medium</t>
        </is>
      </c>
      <c r="F164" s="9" t="inlineStr">
        <is>
          <t>Dynamic programming</t>
        </is>
      </c>
      <c r="G164" s="9">
        <f>IF(Tracker!E56="✓","Yes","")</f>
        <v/>
      </c>
      <c r="H164" s="9" t="inlineStr"/>
      <c r="I164" s="9" t="n"/>
    </row>
    <row r="165">
      <c r="A165" s="9" t="n">
        <v>164</v>
      </c>
      <c r="B165" s="9" t="n">
        <v>55</v>
      </c>
      <c r="C165" s="20" t="n">
        <v>46347</v>
      </c>
      <c r="D165" s="21" t="inlineStr">
        <is>
          <t>Coin Change II</t>
        </is>
      </c>
      <c r="E165" s="22" t="inlineStr">
        <is>
          <t>Medium</t>
        </is>
      </c>
      <c r="F165" s="9" t="inlineStr">
        <is>
          <t>Dynamic programming</t>
        </is>
      </c>
      <c r="G165" s="9">
        <f>IF(Tracker!F56="✓","Yes","")</f>
        <v/>
      </c>
      <c r="H165" s="9" t="inlineStr"/>
      <c r="I165" s="9" t="n"/>
    </row>
    <row r="166">
      <c r="A166" s="9" t="n">
        <v>165</v>
      </c>
      <c r="B166" s="9" t="n">
        <v>55</v>
      </c>
      <c r="C166" s="20" t="n">
        <v>46347</v>
      </c>
      <c r="D166" s="21" t="inlineStr">
        <is>
          <t>Best Time to Buy and Sell Stock III</t>
        </is>
      </c>
      <c r="E166" s="23" t="inlineStr">
        <is>
          <t>Hard</t>
        </is>
      </c>
      <c r="F166" s="9" t="inlineStr">
        <is>
          <t>Dynamic programming</t>
        </is>
      </c>
      <c r="G166" s="9">
        <f>IF(Tracker!G56="✓","Yes","")</f>
        <v/>
      </c>
      <c r="H166" s="9" t="inlineStr"/>
      <c r="I166" s="9" t="n"/>
    </row>
    <row r="167">
      <c r="A167" s="9" t="n">
        <v>166</v>
      </c>
      <c r="B167" s="9" t="n">
        <v>56</v>
      </c>
      <c r="C167" s="20" t="n">
        <v>46348</v>
      </c>
      <c r="D167" s="21" t="inlineStr">
        <is>
          <t>Target Sum</t>
        </is>
      </c>
      <c r="E167" s="22" t="inlineStr">
        <is>
          <t>Medium</t>
        </is>
      </c>
      <c r="F167" s="9" t="inlineStr">
        <is>
          <t>Dynamic programming</t>
        </is>
      </c>
      <c r="G167" s="9">
        <f>IF(Tracker!E57="✓","Yes","")</f>
        <v/>
      </c>
      <c r="H167" s="9" t="inlineStr"/>
      <c r="I167" s="9" t="n"/>
    </row>
    <row r="168">
      <c r="A168" s="9" t="n">
        <v>167</v>
      </c>
      <c r="B168" s="9" t="n">
        <v>56</v>
      </c>
      <c r="C168" s="20" t="n">
        <v>46348</v>
      </c>
      <c r="D168" s="21" t="inlineStr">
        <is>
          <t>Interleaving String</t>
        </is>
      </c>
      <c r="E168" s="22" t="inlineStr">
        <is>
          <t>Medium</t>
        </is>
      </c>
      <c r="F168" s="9" t="inlineStr">
        <is>
          <t>Dynamic programming</t>
        </is>
      </c>
      <c r="G168" s="9">
        <f>IF(Tracker!F57="✓","Yes","")</f>
        <v/>
      </c>
      <c r="H168" s="9" t="inlineStr"/>
      <c r="I168" s="9" t="n"/>
    </row>
    <row r="169">
      <c r="A169" s="9" t="n">
        <v>168</v>
      </c>
      <c r="B169" s="9" t="n">
        <v>56</v>
      </c>
      <c r="C169" s="20" t="n">
        <v>46348</v>
      </c>
      <c r="D169" s="21" t="inlineStr">
        <is>
          <t>Longest Increasing Path in a Matrix</t>
        </is>
      </c>
      <c r="E169" s="23" t="inlineStr">
        <is>
          <t>Hard</t>
        </is>
      </c>
      <c r="F169" s="9" t="inlineStr">
        <is>
          <t>Dynamic programming</t>
        </is>
      </c>
      <c r="G169" s="9">
        <f>IF(Tracker!G57="✓","Yes","")</f>
        <v/>
      </c>
      <c r="H169" s="9" t="inlineStr"/>
      <c r="I169" s="9" t="n"/>
    </row>
    <row r="170">
      <c r="A170" s="9" t="n">
        <v>169</v>
      </c>
      <c r="B170" s="9" t="n">
        <v>57</v>
      </c>
      <c r="C170" s="20" t="n">
        <v>46349</v>
      </c>
      <c r="D170" s="21" t="inlineStr">
        <is>
          <t>Edit Distance</t>
        </is>
      </c>
      <c r="E170" s="22" t="inlineStr">
        <is>
          <t>Medium</t>
        </is>
      </c>
      <c r="F170" s="9" t="inlineStr">
        <is>
          <t>Dynamic programming</t>
        </is>
      </c>
      <c r="G170" s="9">
        <f>IF(Tracker!E58="✓","Yes","")</f>
        <v/>
      </c>
      <c r="H170" s="9" t="inlineStr"/>
      <c r="I170" s="9" t="n"/>
    </row>
    <row r="171">
      <c r="A171" s="9" t="n">
        <v>170</v>
      </c>
      <c r="B171" s="9" t="n">
        <v>57</v>
      </c>
      <c r="C171" s="20" t="n">
        <v>46349</v>
      </c>
      <c r="D171" s="21" t="inlineStr">
        <is>
          <t>Maximal Square</t>
        </is>
      </c>
      <c r="E171" s="22" t="inlineStr">
        <is>
          <t>Medium</t>
        </is>
      </c>
      <c r="F171" s="9" t="inlineStr">
        <is>
          <t>Dynamic programming</t>
        </is>
      </c>
      <c r="G171" s="9">
        <f>IF(Tracker!F58="✓","Yes","")</f>
        <v/>
      </c>
      <c r="H171" s="9" t="inlineStr"/>
      <c r="I171" s="9" t="n"/>
    </row>
    <row r="172">
      <c r="A172" s="9" t="n">
        <v>171</v>
      </c>
      <c r="B172" s="9" t="n">
        <v>57</v>
      </c>
      <c r="C172" s="20" t="n">
        <v>46349</v>
      </c>
      <c r="D172" s="21" t="inlineStr">
        <is>
          <t>Maximum Profit in Job Scheduling</t>
        </is>
      </c>
      <c r="E172" s="23" t="inlineStr">
        <is>
          <t>Hard</t>
        </is>
      </c>
      <c r="F172" s="9" t="inlineStr">
        <is>
          <t>Dynamic programming</t>
        </is>
      </c>
      <c r="G172" s="9">
        <f>IF(Tracker!G58="✓","Yes","")</f>
        <v/>
      </c>
      <c r="H172" s="9" t="inlineStr"/>
      <c r="I172" s="9" t="n"/>
    </row>
    <row r="173">
      <c r="A173" s="9" t="n">
        <v>172</v>
      </c>
      <c r="B173" s="9" t="n">
        <v>58</v>
      </c>
      <c r="C173" s="20" t="n">
        <v>46350</v>
      </c>
      <c r="D173" s="21" t="inlineStr">
        <is>
          <t>Subsets</t>
        </is>
      </c>
      <c r="E173" s="22" t="inlineStr">
        <is>
          <t>Medium</t>
        </is>
      </c>
      <c r="F173" s="9" t="inlineStr">
        <is>
          <t>Backtracking</t>
        </is>
      </c>
      <c r="G173" s="9">
        <f>IF(Tracker!E59="✓","Yes","")</f>
        <v/>
      </c>
      <c r="H173" s="9" t="inlineStr"/>
      <c r="I173" s="9" t="n"/>
    </row>
    <row r="174">
      <c r="A174" s="9" t="n">
        <v>173</v>
      </c>
      <c r="B174" s="9" t="n">
        <v>58</v>
      </c>
      <c r="C174" s="20" t="n">
        <v>46350</v>
      </c>
      <c r="D174" s="21" t="inlineStr">
        <is>
          <t>Combination Sum</t>
        </is>
      </c>
      <c r="E174" s="22" t="inlineStr">
        <is>
          <t>Medium</t>
        </is>
      </c>
      <c r="F174" s="9" t="inlineStr">
        <is>
          <t>Backtracking</t>
        </is>
      </c>
      <c r="G174" s="9">
        <f>IF(Tracker!F59="✓","Yes","")</f>
        <v/>
      </c>
      <c r="H174" s="9" t="inlineStr"/>
      <c r="I174" s="9" t="n"/>
    </row>
    <row r="175">
      <c r="A175" s="9" t="n">
        <v>174</v>
      </c>
      <c r="B175" s="9" t="n">
        <v>58</v>
      </c>
      <c r="C175" s="20" t="n">
        <v>46350</v>
      </c>
      <c r="D175" s="21" t="inlineStr">
        <is>
          <t>N-Queens</t>
        </is>
      </c>
      <c r="E175" s="23" t="inlineStr">
        <is>
          <t>Hard</t>
        </is>
      </c>
      <c r="F175" s="9" t="inlineStr">
        <is>
          <t>Backtracking</t>
        </is>
      </c>
      <c r="G175" s="9">
        <f>IF(Tracker!G59="✓","Yes","")</f>
        <v/>
      </c>
      <c r="H175" s="9" t="inlineStr"/>
      <c r="I175" s="9" t="n"/>
    </row>
    <row r="176">
      <c r="A176" s="9" t="n">
        <v>175</v>
      </c>
      <c r="B176" s="9" t="n">
        <v>59</v>
      </c>
      <c r="C176" s="20" t="n">
        <v>46351</v>
      </c>
      <c r="D176" s="21" t="inlineStr">
        <is>
          <t>Permutations</t>
        </is>
      </c>
      <c r="E176" s="22" t="inlineStr">
        <is>
          <t>Medium</t>
        </is>
      </c>
      <c r="F176" s="9" t="inlineStr">
        <is>
          <t>Backtracking</t>
        </is>
      </c>
      <c r="G176" s="9">
        <f>IF(Tracker!E60="✓","Yes","")</f>
        <v/>
      </c>
      <c r="H176" s="9" t="inlineStr"/>
      <c r="I176" s="9" t="n"/>
    </row>
    <row r="177">
      <c r="A177" s="9" t="n">
        <v>176</v>
      </c>
      <c r="B177" s="9" t="n">
        <v>59</v>
      </c>
      <c r="C177" s="20" t="n">
        <v>46351</v>
      </c>
      <c r="D177" s="21" t="inlineStr">
        <is>
          <t>Palindrome Partitioning</t>
        </is>
      </c>
      <c r="E177" s="22" t="inlineStr">
        <is>
          <t>Medium</t>
        </is>
      </c>
      <c r="F177" s="9" t="inlineStr">
        <is>
          <t>Backtracking</t>
        </is>
      </c>
      <c r="G177" s="9">
        <f>IF(Tracker!F60="✓","Yes","")</f>
        <v/>
      </c>
      <c r="H177" s="9" t="inlineStr"/>
      <c r="I177" s="9" t="n"/>
    </row>
    <row r="178">
      <c r="A178" s="9" t="n">
        <v>177</v>
      </c>
      <c r="B178" s="9" t="n">
        <v>59</v>
      </c>
      <c r="C178" s="20" t="n">
        <v>46351</v>
      </c>
      <c r="D178" s="21" t="inlineStr">
        <is>
          <t>Sudoku Solver</t>
        </is>
      </c>
      <c r="E178" s="23" t="inlineStr">
        <is>
          <t>Hard</t>
        </is>
      </c>
      <c r="F178" s="9" t="inlineStr">
        <is>
          <t>Backtracking</t>
        </is>
      </c>
      <c r="G178" s="9">
        <f>IF(Tracker!G60="✓","Yes","")</f>
        <v/>
      </c>
      <c r="H178" s="9" t="inlineStr"/>
      <c r="I178" s="9" t="n"/>
    </row>
    <row r="179">
      <c r="A179" s="9" t="n">
        <v>178</v>
      </c>
      <c r="B179" s="9" t="n">
        <v>60</v>
      </c>
      <c r="C179" s="20" t="n">
        <v>46352</v>
      </c>
      <c r="D179" s="21" t="inlineStr">
        <is>
          <t>Word Search</t>
        </is>
      </c>
      <c r="E179" s="22" t="inlineStr">
        <is>
          <t>Medium</t>
        </is>
      </c>
      <c r="F179" s="9" t="inlineStr">
        <is>
          <t>Backtracking</t>
        </is>
      </c>
      <c r="G179" s="9">
        <f>IF(Tracker!E61="✓","Yes","")</f>
        <v/>
      </c>
      <c r="H179" s="9" t="inlineStr"/>
      <c r="I179" s="9" t="n"/>
    </row>
    <row r="180">
      <c r="A180" s="9" t="n">
        <v>179</v>
      </c>
      <c r="B180" s="9" t="n">
        <v>60</v>
      </c>
      <c r="C180" s="20" t="n">
        <v>46352</v>
      </c>
      <c r="D180" s="21" t="inlineStr">
        <is>
          <t>Letter Combinations of a Phone Number</t>
        </is>
      </c>
      <c r="E180" s="22" t="inlineStr">
        <is>
          <t>Medium</t>
        </is>
      </c>
      <c r="F180" s="9" t="inlineStr">
        <is>
          <t>Backtracking</t>
        </is>
      </c>
      <c r="G180" s="9">
        <f>IF(Tracker!F61="✓","Yes","")</f>
        <v/>
      </c>
      <c r="H180" s="9" t="inlineStr"/>
      <c r="I180" s="9" t="n"/>
    </row>
    <row r="181">
      <c r="A181" s="9" t="n">
        <v>180</v>
      </c>
      <c r="B181" s="9" t="n">
        <v>60</v>
      </c>
      <c r="C181" s="20" t="n">
        <v>46352</v>
      </c>
      <c r="D181" s="21" t="inlineStr">
        <is>
          <t>Word Break II</t>
        </is>
      </c>
      <c r="E181" s="23" t="inlineStr">
        <is>
          <t>Hard</t>
        </is>
      </c>
      <c r="F181" s="9" t="inlineStr">
        <is>
          <t>Backtracking</t>
        </is>
      </c>
      <c r="G181" s="9">
        <f>IF(Tracker!G61="✓","Yes","")</f>
        <v/>
      </c>
      <c r="H181" s="9" t="inlineStr"/>
      <c r="I181" s="9" t="n"/>
    </row>
    <row r="182">
      <c r="A182" s="9" t="n">
        <v>181</v>
      </c>
      <c r="B182" s="9" t="n">
        <v>61</v>
      </c>
      <c r="C182" s="20" t="n">
        <v>46353</v>
      </c>
      <c r="D182" s="21" t="inlineStr">
        <is>
          <t>Jump Game</t>
        </is>
      </c>
      <c r="E182" s="22" t="inlineStr">
        <is>
          <t>Medium</t>
        </is>
      </c>
      <c r="F182" s="9" t="inlineStr">
        <is>
          <t>Greedy</t>
        </is>
      </c>
      <c r="G182" s="9">
        <f>IF(Tracker!E62="✓","Yes","")</f>
        <v/>
      </c>
      <c r="H182" s="9" t="inlineStr"/>
      <c r="I182" s="9" t="n"/>
    </row>
    <row r="183">
      <c r="A183" s="9" t="n">
        <v>182</v>
      </c>
      <c r="B183" s="9" t="n">
        <v>61</v>
      </c>
      <c r="C183" s="20" t="n">
        <v>46353</v>
      </c>
      <c r="D183" s="21" t="inlineStr">
        <is>
          <t>Gas Station</t>
        </is>
      </c>
      <c r="E183" s="22" t="inlineStr">
        <is>
          <t>Medium</t>
        </is>
      </c>
      <c r="F183" s="9" t="inlineStr">
        <is>
          <t>Greedy</t>
        </is>
      </c>
      <c r="G183" s="9">
        <f>IF(Tracker!F62="✓","Yes","")</f>
        <v/>
      </c>
      <c r="H183" s="9" t="inlineStr"/>
      <c r="I183" s="9" t="n"/>
    </row>
    <row r="184">
      <c r="A184" s="9" t="n">
        <v>183</v>
      </c>
      <c r="B184" s="9" t="n">
        <v>61</v>
      </c>
      <c r="C184" s="20" t="n">
        <v>46353</v>
      </c>
      <c r="D184" s="21" t="inlineStr">
        <is>
          <t>Candy</t>
        </is>
      </c>
      <c r="E184" s="23" t="inlineStr">
        <is>
          <t>Hard</t>
        </is>
      </c>
      <c r="F184" s="9" t="inlineStr">
        <is>
          <t>Greedy</t>
        </is>
      </c>
      <c r="G184" s="9">
        <f>IF(Tracker!G62="✓","Yes","")</f>
        <v/>
      </c>
      <c r="H184" s="9" t="inlineStr"/>
      <c r="I184" s="9" t="n"/>
    </row>
    <row r="185">
      <c r="A185" s="9" t="n">
        <v>184</v>
      </c>
      <c r="B185" s="9" t="n">
        <v>62</v>
      </c>
      <c r="C185" s="20" t="n">
        <v>46354</v>
      </c>
      <c r="D185" s="21" t="inlineStr">
        <is>
          <t>Jump Game II</t>
        </is>
      </c>
      <c r="E185" s="22" t="inlineStr">
        <is>
          <t>Medium</t>
        </is>
      </c>
      <c r="F185" s="9" t="inlineStr">
        <is>
          <t>Greedy</t>
        </is>
      </c>
      <c r="G185" s="9">
        <f>IF(Tracker!E63="✓","Yes","")</f>
        <v/>
      </c>
      <c r="H185" s="9" t="inlineStr"/>
      <c r="I185" s="9" t="n"/>
    </row>
    <row r="186">
      <c r="A186" s="9" t="n">
        <v>185</v>
      </c>
      <c r="B186" s="9" t="n">
        <v>62</v>
      </c>
      <c r="C186" s="20" t="n">
        <v>46354</v>
      </c>
      <c r="D186" s="21" t="inlineStr">
        <is>
          <t>Partition Labels</t>
        </is>
      </c>
      <c r="E186" s="22" t="inlineStr">
        <is>
          <t>Medium</t>
        </is>
      </c>
      <c r="F186" s="9" t="inlineStr">
        <is>
          <t>Greedy</t>
        </is>
      </c>
      <c r="G186" s="9">
        <f>IF(Tracker!F63="✓","Yes","")</f>
        <v/>
      </c>
      <c r="H186" s="9" t="inlineStr"/>
      <c r="I186" s="9" t="n"/>
    </row>
    <row r="187">
      <c r="A187" s="9" t="n">
        <v>186</v>
      </c>
      <c r="B187" s="9" t="n">
        <v>62</v>
      </c>
      <c r="C187" s="20" t="n">
        <v>46354</v>
      </c>
      <c r="D187" s="21" t="inlineStr">
        <is>
          <t>Course Schedule III</t>
        </is>
      </c>
      <c r="E187" s="23" t="inlineStr">
        <is>
          <t>Hard</t>
        </is>
      </c>
      <c r="F187" s="9" t="inlineStr">
        <is>
          <t>Greedy</t>
        </is>
      </c>
      <c r="G187" s="9">
        <f>IF(Tracker!G63="✓","Yes","")</f>
        <v/>
      </c>
      <c r="H187" s="9" t="inlineStr"/>
      <c r="I187" s="9" t="n"/>
    </row>
    <row r="188">
      <c r="A188" s="9" t="n">
        <v>187</v>
      </c>
      <c r="B188" s="9" t="n">
        <v>63</v>
      </c>
      <c r="C188" s="20" t="n">
        <v>46355</v>
      </c>
      <c r="D188" s="21" t="inlineStr">
        <is>
          <t>Hand of Straights</t>
        </is>
      </c>
      <c r="E188" s="22" t="inlineStr">
        <is>
          <t>Medium</t>
        </is>
      </c>
      <c r="F188" s="9" t="inlineStr">
        <is>
          <t>Greedy</t>
        </is>
      </c>
      <c r="G188" s="9">
        <f>IF(Tracker!E64="✓","Yes","")</f>
        <v/>
      </c>
      <c r="H188" s="9" t="inlineStr"/>
      <c r="I188" s="9" t="n"/>
    </row>
    <row r="189">
      <c r="A189" s="9" t="n">
        <v>188</v>
      </c>
      <c r="B189" s="9" t="n">
        <v>63</v>
      </c>
      <c r="C189" s="20" t="n">
        <v>46355</v>
      </c>
      <c r="D189" s="21" t="inlineStr">
        <is>
          <t>Valid Parenthesis String</t>
        </is>
      </c>
      <c r="E189" s="22" t="inlineStr">
        <is>
          <t>Medium</t>
        </is>
      </c>
      <c r="F189" s="9" t="inlineStr">
        <is>
          <t>Greedy</t>
        </is>
      </c>
      <c r="G189" s="9">
        <f>IF(Tracker!F64="✓","Yes","")</f>
        <v/>
      </c>
      <c r="H189" s="9" t="inlineStr"/>
      <c r="I189" s="9" t="n"/>
    </row>
    <row r="190">
      <c r="A190" s="9" t="n">
        <v>189</v>
      </c>
      <c r="B190" s="9" t="n">
        <v>63</v>
      </c>
      <c r="C190" s="20" t="n">
        <v>46355</v>
      </c>
      <c r="D190" s="21" t="inlineStr">
        <is>
          <t>Patching Array</t>
        </is>
      </c>
      <c r="E190" s="23" t="inlineStr">
        <is>
          <t>Hard</t>
        </is>
      </c>
      <c r="F190" s="9" t="inlineStr">
        <is>
          <t>Greedy</t>
        </is>
      </c>
      <c r="G190" s="9">
        <f>IF(Tracker!G64="✓","Yes","")</f>
        <v/>
      </c>
      <c r="H190" s="9" t="inlineStr"/>
      <c r="I190" s="9" t="n"/>
    </row>
    <row r="191">
      <c r="A191" s="9" t="n">
        <v>190</v>
      </c>
      <c r="B191" s="9" t="n">
        <v>64</v>
      </c>
      <c r="C191" s="20" t="n">
        <v>46356</v>
      </c>
      <c r="D191" s="21" t="inlineStr">
        <is>
          <t>Brick Wall</t>
        </is>
      </c>
      <c r="E191" s="22" t="inlineStr">
        <is>
          <t>Medium</t>
        </is>
      </c>
      <c r="F191" s="9" t="inlineStr">
        <is>
          <t>Hashing</t>
        </is>
      </c>
      <c r="G191" s="9">
        <f>IF(Tracker!E65="✓","Yes","")</f>
        <v/>
      </c>
      <c r="H191" s="9" t="inlineStr"/>
      <c r="I191" s="9" t="n"/>
    </row>
    <row r="192">
      <c r="A192" s="9" t="n">
        <v>191</v>
      </c>
      <c r="B192" s="9" t="n">
        <v>64</v>
      </c>
      <c r="C192" s="20" t="n">
        <v>46356</v>
      </c>
      <c r="D192" s="21" t="inlineStr">
        <is>
          <t>Find All Anagrams in a String</t>
        </is>
      </c>
      <c r="E192" s="22" t="inlineStr">
        <is>
          <t>Medium</t>
        </is>
      </c>
      <c r="F192" s="9" t="inlineStr">
        <is>
          <t>Hashing</t>
        </is>
      </c>
      <c r="G192" s="9">
        <f>IF(Tracker!F65="✓","Yes","")</f>
        <v/>
      </c>
      <c r="H192" s="9" t="inlineStr"/>
      <c r="I192" s="9" t="n"/>
    </row>
    <row r="193">
      <c r="A193" s="9" t="n">
        <v>192</v>
      </c>
      <c r="B193" s="9" t="n">
        <v>64</v>
      </c>
      <c r="C193" s="20" t="n">
        <v>46356</v>
      </c>
      <c r="D193" s="21" t="inlineStr">
        <is>
          <t>Longest Duplicate Substring</t>
        </is>
      </c>
      <c r="E193" s="23" t="inlineStr">
        <is>
          <t>Hard</t>
        </is>
      </c>
      <c r="F193" s="9" t="inlineStr">
        <is>
          <t>Hashing</t>
        </is>
      </c>
      <c r="G193" s="9">
        <f>IF(Tracker!G65="✓","Yes","")</f>
        <v/>
      </c>
      <c r="H193" s="9" t="inlineStr"/>
      <c r="I193" s="9" t="n"/>
    </row>
    <row r="194">
      <c r="A194" s="9" t="n">
        <v>193</v>
      </c>
      <c r="B194" s="9" t="n">
        <v>65</v>
      </c>
      <c r="C194" s="20" t="n">
        <v>46357</v>
      </c>
      <c r="D194" s="21" t="inlineStr">
        <is>
          <t>Is Graph Bipartite?</t>
        </is>
      </c>
      <c r="E194" s="22" t="inlineStr">
        <is>
          <t>Medium</t>
        </is>
      </c>
      <c r="F194" s="9" t="inlineStr">
        <is>
          <t>Graphs (BFS / DFS / union-find)</t>
        </is>
      </c>
      <c r="G194" s="9">
        <f>IF(Tracker!E66="✓","Yes","")</f>
        <v/>
      </c>
      <c r="H194" s="9" t="inlineStr"/>
      <c r="I194" s="9" t="n"/>
    </row>
    <row r="195">
      <c r="A195" s="9" t="n">
        <v>194</v>
      </c>
      <c r="B195" s="9" t="n">
        <v>65</v>
      </c>
      <c r="C195" s="20" t="n">
        <v>46357</v>
      </c>
      <c r="D195" s="21" t="inlineStr">
        <is>
          <t>Evaluate Division</t>
        </is>
      </c>
      <c r="E195" s="22" t="inlineStr">
        <is>
          <t>Medium</t>
        </is>
      </c>
      <c r="F195" s="9" t="inlineStr">
        <is>
          <t>Graphs (BFS / DFS / union-find)</t>
        </is>
      </c>
      <c r="G195" s="9">
        <f>IF(Tracker!F66="✓","Yes","")</f>
        <v/>
      </c>
      <c r="H195" s="9" t="inlineStr"/>
      <c r="I195" s="9" t="n"/>
    </row>
    <row r="196">
      <c r="A196" s="9" t="n">
        <v>195</v>
      </c>
      <c r="B196" s="9" t="n">
        <v>65</v>
      </c>
      <c r="C196" s="20" t="n">
        <v>46357</v>
      </c>
      <c r="D196" s="21" t="inlineStr">
        <is>
          <t>Reconstruct Itinerary</t>
        </is>
      </c>
      <c r="E196" s="23" t="inlineStr">
        <is>
          <t>Hard</t>
        </is>
      </c>
      <c r="F196" s="9" t="inlineStr">
        <is>
          <t>Graphs (BFS / DFS / union-find)</t>
        </is>
      </c>
      <c r="G196" s="9">
        <f>IF(Tracker!G66="✓","Yes","")</f>
        <v/>
      </c>
      <c r="H196" s="9" t="inlineStr"/>
      <c r="I196" s="9" t="n"/>
    </row>
    <row r="197">
      <c r="A197" s="9" t="n">
        <v>196</v>
      </c>
      <c r="B197" s="9" t="n">
        <v>66</v>
      </c>
      <c r="C197" s="20" t="n">
        <v>46358</v>
      </c>
      <c r="D197" s="21" t="inlineStr">
        <is>
          <t>Insert Delete GetRandom O(1)</t>
        </is>
      </c>
      <c r="E197" s="22" t="inlineStr">
        <is>
          <t>Medium</t>
        </is>
      </c>
      <c r="F197" s="9" t="inlineStr">
        <is>
          <t>Design data structures</t>
        </is>
      </c>
      <c r="G197" s="9">
        <f>IF(Tracker!E67="✓","Yes","")</f>
        <v/>
      </c>
      <c r="H197" s="9" t="inlineStr"/>
      <c r="I197" s="9" t="n"/>
    </row>
    <row r="198">
      <c r="A198" s="9" t="n">
        <v>197</v>
      </c>
      <c r="B198" s="9" t="n">
        <v>66</v>
      </c>
      <c r="C198" s="20" t="n">
        <v>46358</v>
      </c>
      <c r="D198" s="21" t="inlineStr">
        <is>
          <t>Snapshot Array</t>
        </is>
      </c>
      <c r="E198" s="22" t="inlineStr">
        <is>
          <t>Medium</t>
        </is>
      </c>
      <c r="F198" s="9" t="inlineStr">
        <is>
          <t>Design data structures</t>
        </is>
      </c>
      <c r="G198" s="9">
        <f>IF(Tracker!F67="✓","Yes","")</f>
        <v/>
      </c>
      <c r="H198" s="9" t="inlineStr"/>
      <c r="I198" s="9" t="n"/>
    </row>
    <row r="199">
      <c r="A199" s="9" t="n">
        <v>198</v>
      </c>
      <c r="B199" s="9" t="n">
        <v>66</v>
      </c>
      <c r="C199" s="20" t="n">
        <v>46358</v>
      </c>
      <c r="D199" s="21" t="inlineStr">
        <is>
          <t>Maximum Frequency Stack</t>
        </is>
      </c>
      <c r="E199" s="23" t="inlineStr">
        <is>
          <t>Hard</t>
        </is>
      </c>
      <c r="F199" s="9" t="inlineStr">
        <is>
          <t>Design data structures</t>
        </is>
      </c>
      <c r="G199" s="9">
        <f>IF(Tracker!G67="✓","Yes","")</f>
        <v/>
      </c>
      <c r="H199" s="9" t="inlineStr"/>
      <c r="I199" s="9" t="n"/>
    </row>
    <row r="200">
      <c r="A200" s="9" t="n">
        <v>199</v>
      </c>
      <c r="B200" s="9" t="n">
        <v>67</v>
      </c>
      <c r="C200" s="20" t="n">
        <v>46359</v>
      </c>
      <c r="D200" s="21" t="inlineStr">
        <is>
          <t>Set Matrix Zeroes</t>
        </is>
      </c>
      <c r="E200" s="22" t="inlineStr">
        <is>
          <t>Medium</t>
        </is>
      </c>
      <c r="F200" s="9" t="inlineStr">
        <is>
          <t>Arrays &amp; matrix</t>
        </is>
      </c>
      <c r="G200" s="9">
        <f>IF(Tracker!E68="✓","Yes","")</f>
        <v/>
      </c>
      <c r="H200" s="9" t="inlineStr"/>
      <c r="I200" s="9" t="n"/>
    </row>
    <row r="201">
      <c r="A201" s="9" t="n">
        <v>200</v>
      </c>
      <c r="B201" s="9" t="n">
        <v>67</v>
      </c>
      <c r="C201" s="20" t="n">
        <v>46359</v>
      </c>
      <c r="D201" s="21" t="inlineStr">
        <is>
          <t>Game of Life</t>
        </is>
      </c>
      <c r="E201" s="22" t="inlineStr">
        <is>
          <t>Medium</t>
        </is>
      </c>
      <c r="F201" s="9" t="inlineStr">
        <is>
          <t>Arrays &amp; matrix</t>
        </is>
      </c>
      <c r="G201" s="9">
        <f>IF(Tracker!F68="✓","Yes","")</f>
        <v/>
      </c>
      <c r="H201" s="9" t="inlineStr"/>
      <c r="I201" s="9" t="n"/>
    </row>
    <row r="202">
      <c r="A202" s="9" t="n">
        <v>201</v>
      </c>
      <c r="B202" s="9" t="n">
        <v>67</v>
      </c>
      <c r="C202" s="20" t="n">
        <v>46359</v>
      </c>
      <c r="D202" s="21" t="inlineStr">
        <is>
          <t>Smallest Range Covering Elements from K Lists</t>
        </is>
      </c>
      <c r="E202" s="23" t="inlineStr">
        <is>
          <t>Hard</t>
        </is>
      </c>
      <c r="F202" s="9" t="inlineStr">
        <is>
          <t>Arrays &amp; matrix</t>
        </is>
      </c>
      <c r="G202" s="9">
        <f>IF(Tracker!G68="✓","Yes","")</f>
        <v/>
      </c>
      <c r="H202" s="9" t="inlineStr"/>
      <c r="I202" s="9" t="n"/>
    </row>
    <row r="203">
      <c r="A203" s="9" t="n">
        <v>202</v>
      </c>
      <c r="B203" s="9" t="n">
        <v>68</v>
      </c>
      <c r="C203" s="20" t="n">
        <v>46360</v>
      </c>
      <c r="D203" s="21" t="inlineStr">
        <is>
          <t>String to Integer (atoi)</t>
        </is>
      </c>
      <c r="E203" s="22" t="inlineStr">
        <is>
          <t>Medium</t>
        </is>
      </c>
      <c r="F203" s="9" t="inlineStr">
        <is>
          <t>Math &amp; strings</t>
        </is>
      </c>
      <c r="G203" s="9">
        <f>IF(Tracker!E69="✓","Yes","")</f>
        <v/>
      </c>
      <c r="H203" s="9" t="inlineStr"/>
      <c r="I203" s="9" t="n"/>
    </row>
    <row r="204">
      <c r="A204" s="9" t="n">
        <v>203</v>
      </c>
      <c r="B204" s="9" t="n">
        <v>68</v>
      </c>
      <c r="C204" s="20" t="n">
        <v>46360</v>
      </c>
      <c r="D204" s="21" t="inlineStr">
        <is>
          <t>Multiply Strings</t>
        </is>
      </c>
      <c r="E204" s="22" t="inlineStr">
        <is>
          <t>Medium</t>
        </is>
      </c>
      <c r="F204" s="9" t="inlineStr">
        <is>
          <t>Math &amp; strings</t>
        </is>
      </c>
      <c r="G204" s="9">
        <f>IF(Tracker!F69="✓","Yes","")</f>
        <v/>
      </c>
      <c r="H204" s="9" t="inlineStr"/>
      <c r="I204" s="9" t="n"/>
    </row>
    <row r="205">
      <c r="A205" s="9" t="n">
        <v>204</v>
      </c>
      <c r="B205" s="9" t="n">
        <v>68</v>
      </c>
      <c r="C205" s="20" t="n">
        <v>46360</v>
      </c>
      <c r="D205" s="21" t="inlineStr">
        <is>
          <t>Text Justification</t>
        </is>
      </c>
      <c r="E205" s="23" t="inlineStr">
        <is>
          <t>Hard</t>
        </is>
      </c>
      <c r="F205" s="9" t="inlineStr">
        <is>
          <t>Math &amp; strings</t>
        </is>
      </c>
      <c r="G205" s="9">
        <f>IF(Tracker!G69="✓","Yes","")</f>
        <v/>
      </c>
      <c r="H205" s="9" t="inlineStr"/>
      <c r="I205" s="9" t="n"/>
    </row>
    <row r="206">
      <c r="A206" s="9" t="n">
        <v>205</v>
      </c>
      <c r="B206" s="9" t="n">
        <v>69</v>
      </c>
      <c r="C206" s="20" t="n">
        <v>46361</v>
      </c>
      <c r="D206" s="21" t="inlineStr">
        <is>
          <t>Maximum Subarray</t>
        </is>
      </c>
      <c r="E206" s="22" t="inlineStr">
        <is>
          <t>Medium</t>
        </is>
      </c>
      <c r="F206" s="9" t="inlineStr">
        <is>
          <t>Kadane / subarrays</t>
        </is>
      </c>
      <c r="G206" s="9">
        <f>IF(Tracker!E70="✓","Yes","")</f>
        <v/>
      </c>
      <c r="H206" s="9" t="inlineStr"/>
      <c r="I206" s="9" t="n"/>
    </row>
    <row r="207">
      <c r="A207" s="9" t="n">
        <v>206</v>
      </c>
      <c r="B207" s="9" t="n">
        <v>69</v>
      </c>
      <c r="C207" s="20" t="n">
        <v>46361</v>
      </c>
      <c r="D207" s="21" t="inlineStr">
        <is>
          <t>Maximum Sum Circular Subarray</t>
        </is>
      </c>
      <c r="E207" s="22" t="inlineStr">
        <is>
          <t>Medium</t>
        </is>
      </c>
      <c r="F207" s="9" t="inlineStr">
        <is>
          <t>Kadane / subarrays</t>
        </is>
      </c>
      <c r="G207" s="9">
        <f>IF(Tracker!F70="✓","Yes","")</f>
        <v/>
      </c>
      <c r="H207" s="9" t="inlineStr"/>
      <c r="I207" s="9" t="n"/>
    </row>
    <row r="208">
      <c r="A208" s="9" t="n">
        <v>207</v>
      </c>
      <c r="B208" s="9" t="n">
        <v>69</v>
      </c>
      <c r="C208" s="20" t="n">
        <v>46361</v>
      </c>
      <c r="D208" s="21" t="inlineStr">
        <is>
          <t>Max Sum of Rectangle No Larger Than K</t>
        </is>
      </c>
      <c r="E208" s="23" t="inlineStr">
        <is>
          <t>Hard</t>
        </is>
      </c>
      <c r="F208" s="9" t="inlineStr">
        <is>
          <t>Kadane / subarrays</t>
        </is>
      </c>
      <c r="G208" s="9">
        <f>IF(Tracker!G70="✓","Yes","")</f>
        <v/>
      </c>
      <c r="H208" s="9" t="inlineStr"/>
      <c r="I208" s="9" t="n"/>
    </row>
    <row r="209">
      <c r="A209" s="9" t="n">
        <v>208</v>
      </c>
      <c r="B209" s="9" t="n">
        <v>70</v>
      </c>
      <c r="C209" s="20" t="n">
        <v>46362</v>
      </c>
      <c r="D209" s="21" t="inlineStr">
        <is>
          <t>Integer to Roman</t>
        </is>
      </c>
      <c r="E209" s="22" t="inlineStr">
        <is>
          <t>Medium</t>
        </is>
      </c>
      <c r="F209" s="9" t="inlineStr">
        <is>
          <t>Math &amp; strings</t>
        </is>
      </c>
      <c r="G209" s="9">
        <f>IF(Tracker!E71="✓","Yes","")</f>
        <v/>
      </c>
      <c r="H209" s="9" t="inlineStr"/>
      <c r="I209" s="9" t="n"/>
    </row>
    <row r="210">
      <c r="A210" s="9" t="n">
        <v>209</v>
      </c>
      <c r="B210" s="9" t="n">
        <v>70</v>
      </c>
      <c r="C210" s="20" t="n">
        <v>46362</v>
      </c>
      <c r="D210" s="21" t="inlineStr">
        <is>
          <t>Pow(x, n)</t>
        </is>
      </c>
      <c r="E210" s="22" t="inlineStr">
        <is>
          <t>Medium</t>
        </is>
      </c>
      <c r="F210" s="9" t="inlineStr">
        <is>
          <t>Math &amp; strings</t>
        </is>
      </c>
      <c r="G210" s="9">
        <f>IF(Tracker!F71="✓","Yes","")</f>
        <v/>
      </c>
      <c r="H210" s="9" t="inlineStr"/>
      <c r="I210" s="9" t="n"/>
    </row>
    <row r="211">
      <c r="A211" s="9" t="n">
        <v>210</v>
      </c>
      <c r="B211" s="9" t="n">
        <v>70</v>
      </c>
      <c r="C211" s="20" t="n">
        <v>46362</v>
      </c>
      <c r="D211" s="21" t="inlineStr">
        <is>
          <t>Integer to English Words</t>
        </is>
      </c>
      <c r="E211" s="23" t="inlineStr">
        <is>
          <t>Hard</t>
        </is>
      </c>
      <c r="F211" s="9" t="inlineStr">
        <is>
          <t>Math &amp; strings</t>
        </is>
      </c>
      <c r="G211" s="9">
        <f>IF(Tracker!G71="✓","Yes","")</f>
        <v/>
      </c>
      <c r="H211" s="9" t="inlineStr"/>
      <c r="I211" s="9" t="n"/>
    </row>
    <row r="212">
      <c r="A212" s="9" t="n">
        <v>211</v>
      </c>
      <c r="B212" s="9" t="n">
        <v>71</v>
      </c>
      <c r="C212" s="20" t="n">
        <v>46363</v>
      </c>
      <c r="D212" s="21" t="inlineStr">
        <is>
          <t>4Sum II</t>
        </is>
      </c>
      <c r="E212" s="22" t="inlineStr">
        <is>
          <t>Medium</t>
        </is>
      </c>
      <c r="F212" s="9" t="inlineStr">
        <is>
          <t>Hashing</t>
        </is>
      </c>
      <c r="G212" s="9">
        <f>IF(Tracker!E72="✓","Yes","")</f>
        <v/>
      </c>
      <c r="H212" s="9" t="inlineStr"/>
      <c r="I212" s="9" t="n"/>
    </row>
    <row r="213">
      <c r="A213" s="9" t="n">
        <v>212</v>
      </c>
      <c r="B213" s="9" t="n">
        <v>71</v>
      </c>
      <c r="C213" s="20" t="n">
        <v>46363</v>
      </c>
      <c r="D213" s="21" t="inlineStr">
        <is>
          <t>Longest Palindrome by Concatenating Two Letter Words</t>
        </is>
      </c>
      <c r="E213" s="22" t="inlineStr">
        <is>
          <t>Medium</t>
        </is>
      </c>
      <c r="F213" s="9" t="inlineStr">
        <is>
          <t>Hashing</t>
        </is>
      </c>
      <c r="G213" s="9">
        <f>IF(Tracker!F72="✓","Yes","")</f>
        <v/>
      </c>
      <c r="H213" s="9" t="inlineStr"/>
      <c r="I213" s="9" t="n"/>
    </row>
    <row r="214">
      <c r="A214" s="9" t="n">
        <v>213</v>
      </c>
      <c r="B214" s="9" t="n">
        <v>71</v>
      </c>
      <c r="C214" s="20" t="n">
        <v>46363</v>
      </c>
      <c r="D214" s="21" t="inlineStr">
        <is>
          <t>Substring with Largest Variance</t>
        </is>
      </c>
      <c r="E214" s="23" t="inlineStr">
        <is>
          <t>Hard</t>
        </is>
      </c>
      <c r="F214" s="9" t="inlineStr">
        <is>
          <t>Hashing</t>
        </is>
      </c>
      <c r="G214" s="9">
        <f>IF(Tracker!G72="✓","Yes","")</f>
        <v/>
      </c>
      <c r="H214" s="9" t="inlineStr"/>
      <c r="I214" s="9" t="n"/>
    </row>
    <row r="215">
      <c r="A215" s="9" t="n">
        <v>214</v>
      </c>
      <c r="B215" s="9" t="n">
        <v>72</v>
      </c>
      <c r="C215" s="20" t="n">
        <v>46364</v>
      </c>
      <c r="D215" s="21" t="inlineStr">
        <is>
          <t>Reorder Routes to Make All Paths Lead to the City Zero</t>
        </is>
      </c>
      <c r="E215" s="22" t="inlineStr">
        <is>
          <t>Medium</t>
        </is>
      </c>
      <c r="F215" s="9" t="inlineStr">
        <is>
          <t>Graphs (BFS / DFS / union-find)</t>
        </is>
      </c>
      <c r="G215" s="9">
        <f>IF(Tracker!E73="✓","Yes","")</f>
        <v/>
      </c>
      <c r="H215" s="9" t="inlineStr"/>
      <c r="I215" s="9" t="n"/>
    </row>
    <row r="216">
      <c r="A216" s="9" t="n">
        <v>215</v>
      </c>
      <c r="B216" s="9" t="n">
        <v>72</v>
      </c>
      <c r="C216" s="20" t="n">
        <v>46364</v>
      </c>
      <c r="D216" s="21" t="inlineStr">
        <is>
          <t>Keys and Rooms</t>
        </is>
      </c>
      <c r="E216" s="22" t="inlineStr">
        <is>
          <t>Medium</t>
        </is>
      </c>
      <c r="F216" s="9" t="inlineStr">
        <is>
          <t>Graphs (BFS / DFS / union-find)</t>
        </is>
      </c>
      <c r="G216" s="9">
        <f>IF(Tracker!F73="✓","Yes","")</f>
        <v/>
      </c>
      <c r="H216" s="9" t="inlineStr"/>
      <c r="I216" s="9" t="n"/>
    </row>
    <row r="217">
      <c r="A217" s="9" t="n">
        <v>216</v>
      </c>
      <c r="B217" s="9" t="n">
        <v>72</v>
      </c>
      <c r="C217" s="20" t="n">
        <v>46364</v>
      </c>
      <c r="D217" s="21" t="inlineStr">
        <is>
          <t>Minimum Cost to Make at Least One Valid Path in a Grid</t>
        </is>
      </c>
      <c r="E217" s="23" t="inlineStr">
        <is>
          <t>Hard</t>
        </is>
      </c>
      <c r="F217" s="9" t="inlineStr">
        <is>
          <t>Graphs (BFS / DFS / union-find)</t>
        </is>
      </c>
      <c r="G217" s="9">
        <f>IF(Tracker!G73="✓","Yes","")</f>
        <v/>
      </c>
      <c r="H217" s="9" t="inlineStr"/>
      <c r="I217" s="9" t="n"/>
    </row>
    <row r="218">
      <c r="A218" s="9" t="n">
        <v>217</v>
      </c>
      <c r="B218" s="9" t="n">
        <v>73</v>
      </c>
      <c r="C218" s="20" t="n">
        <v>46365</v>
      </c>
      <c r="D218" s="21" t="inlineStr">
        <is>
          <t>Increasing Triplet Subsequence</t>
        </is>
      </c>
      <c r="E218" s="22" t="inlineStr">
        <is>
          <t>Medium</t>
        </is>
      </c>
      <c r="F218" s="9" t="inlineStr">
        <is>
          <t>Mixed interview set (LeetCode 75)</t>
        </is>
      </c>
      <c r="G218" s="9">
        <f>IF(Tracker!E74="✓","Yes","")</f>
        <v/>
      </c>
      <c r="H218" s="9" t="inlineStr"/>
      <c r="I218" s="9" t="n"/>
    </row>
    <row r="219">
      <c r="A219" s="9" t="n">
        <v>218</v>
      </c>
      <c r="B219" s="9" t="n">
        <v>73</v>
      </c>
      <c r="C219" s="20" t="n">
        <v>46365</v>
      </c>
      <c r="D219" s="21" t="inlineStr">
        <is>
          <t>Max Number of K-Sum Pairs</t>
        </is>
      </c>
      <c r="E219" s="22" t="inlineStr">
        <is>
          <t>Medium</t>
        </is>
      </c>
      <c r="F219" s="9" t="inlineStr">
        <is>
          <t>Mixed interview set (LeetCode 75)</t>
        </is>
      </c>
      <c r="G219" s="9">
        <f>IF(Tracker!F74="✓","Yes","")</f>
        <v/>
      </c>
      <c r="H219" s="9" t="inlineStr"/>
      <c r="I219" s="9" t="n"/>
    </row>
    <row r="220">
      <c r="A220" s="9" t="n">
        <v>219</v>
      </c>
      <c r="B220" s="9" t="n">
        <v>73</v>
      </c>
      <c r="C220" s="20" t="n">
        <v>46365</v>
      </c>
      <c r="D220" s="21" t="inlineStr">
        <is>
          <t>Sliding Puzzle</t>
        </is>
      </c>
      <c r="E220" s="23" t="inlineStr">
        <is>
          <t>Hard</t>
        </is>
      </c>
      <c r="F220" s="9" t="inlineStr">
        <is>
          <t>Mixed interview set (LeetCode 75)</t>
        </is>
      </c>
      <c r="G220" s="9">
        <f>IF(Tracker!G74="✓","Yes","")</f>
        <v/>
      </c>
      <c r="H220" s="9" t="inlineStr"/>
      <c r="I220" s="9" t="n"/>
    </row>
    <row r="221">
      <c r="A221" s="9" t="n">
        <v>220</v>
      </c>
      <c r="B221" s="9" t="n">
        <v>74</v>
      </c>
      <c r="C221" s="20" t="n">
        <v>46366</v>
      </c>
      <c r="D221" s="21" t="inlineStr">
        <is>
          <t>String Compression</t>
        </is>
      </c>
      <c r="E221" s="22" t="inlineStr">
        <is>
          <t>Medium</t>
        </is>
      </c>
      <c r="F221" s="9" t="inlineStr">
        <is>
          <t>Mixed interview set (LeetCode 75)</t>
        </is>
      </c>
      <c r="G221" s="9">
        <f>IF(Tracker!E75="✓","Yes","")</f>
        <v/>
      </c>
      <c r="H221" s="9" t="inlineStr"/>
      <c r="I221" s="9" t="n"/>
    </row>
    <row r="222">
      <c r="A222" s="9" t="n">
        <v>221</v>
      </c>
      <c r="B222" s="9" t="n">
        <v>74</v>
      </c>
      <c r="C222" s="20" t="n">
        <v>46366</v>
      </c>
      <c r="D222" s="21" t="inlineStr">
        <is>
          <t>Longest Subarray of 1's After Deleting One Element</t>
        </is>
      </c>
      <c r="E222" s="22" t="inlineStr">
        <is>
          <t>Medium</t>
        </is>
      </c>
      <c r="F222" s="9" t="inlineStr">
        <is>
          <t>Mixed interview set (LeetCode 75)</t>
        </is>
      </c>
      <c r="G222" s="9">
        <f>IF(Tracker!F75="✓","Yes","")</f>
        <v/>
      </c>
      <c r="H222" s="9" t="inlineStr"/>
      <c r="I222" s="9" t="n"/>
    </row>
    <row r="223">
      <c r="A223" s="9" t="n">
        <v>222</v>
      </c>
      <c r="B223" s="9" t="n">
        <v>74</v>
      </c>
      <c r="C223" s="20" t="n">
        <v>46366</v>
      </c>
      <c r="D223" s="21" t="inlineStr">
        <is>
          <t>Minimum Cost to Hire K Workers</t>
        </is>
      </c>
      <c r="E223" s="23" t="inlineStr">
        <is>
          <t>Hard</t>
        </is>
      </c>
      <c r="F223" s="9" t="inlineStr">
        <is>
          <t>Mixed interview set (LeetCode 75)</t>
        </is>
      </c>
      <c r="G223" s="9">
        <f>IF(Tracker!G75="✓","Yes","")</f>
        <v/>
      </c>
      <c r="H223" s="9" t="inlineStr"/>
      <c r="I223" s="9" t="n"/>
    </row>
    <row r="224">
      <c r="A224" s="9" t="n">
        <v>223</v>
      </c>
      <c r="B224" s="9" t="n">
        <v>75</v>
      </c>
      <c r="C224" s="20" t="n">
        <v>46367</v>
      </c>
      <c r="D224" s="21" t="inlineStr">
        <is>
          <t>Removing Stars From a String</t>
        </is>
      </c>
      <c r="E224" s="22" t="inlineStr">
        <is>
          <t>Medium</t>
        </is>
      </c>
      <c r="F224" s="9" t="inlineStr">
        <is>
          <t>Mixed interview set (LeetCode 75)</t>
        </is>
      </c>
      <c r="G224" s="9">
        <f>IF(Tracker!E76="✓","Yes","")</f>
        <v/>
      </c>
      <c r="H224" s="9" t="inlineStr"/>
      <c r="I224" s="9" t="n"/>
    </row>
    <row r="225">
      <c r="A225" s="9" t="n">
        <v>224</v>
      </c>
      <c r="B225" s="9" t="n">
        <v>75</v>
      </c>
      <c r="C225" s="20" t="n">
        <v>46367</v>
      </c>
      <c r="D225" s="21" t="inlineStr">
        <is>
          <t>Successful Pairs of Spells and Potions</t>
        </is>
      </c>
      <c r="E225" s="22" t="inlineStr">
        <is>
          <t>Medium</t>
        </is>
      </c>
      <c r="F225" s="9" t="inlineStr">
        <is>
          <t>Mixed interview set (LeetCode 75)</t>
        </is>
      </c>
      <c r="G225" s="9">
        <f>IF(Tracker!F76="✓","Yes","")</f>
        <v/>
      </c>
      <c r="H225" s="9" t="inlineStr"/>
      <c r="I225" s="9" t="n"/>
    </row>
    <row r="226">
      <c r="A226" s="9" t="n">
        <v>225</v>
      </c>
      <c r="B226" s="9" t="n">
        <v>75</v>
      </c>
      <c r="C226" s="20" t="n">
        <v>46367</v>
      </c>
      <c r="D226" s="21" t="inlineStr">
        <is>
          <t>Trapping Rain Water II</t>
        </is>
      </c>
      <c r="E226" s="23" t="inlineStr">
        <is>
          <t>Hard</t>
        </is>
      </c>
      <c r="F226" s="9" t="inlineStr">
        <is>
          <t>Mixed interview set (LeetCode 75)</t>
        </is>
      </c>
      <c r="G226" s="9">
        <f>IF(Tracker!G76="✓","Yes","")</f>
        <v/>
      </c>
      <c r="H226" s="9" t="inlineStr"/>
      <c r="I226" s="9" t="n"/>
    </row>
  </sheetData>
  <autoFilter ref="A1:I226"/>
  <conditionalFormatting sqref="G2:G226">
    <cfRule type="cellIs" priority="1" operator="equal" dxfId="0">
      <formula>"Yes"</formula>
    </cfRule>
  </conditionalFormatting>
  <dataValidations count="1">
    <dataValidation sqref="H2:H226" showDropDown="0" showInputMessage="0" showErrorMessage="0" allowBlank="1"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9" customWidth="1" min="3" max="3"/>
    <col width="13" customWidth="1" min="4" max="4"/>
    <col width="60" customWidth="1" min="5" max="5"/>
    <col width="90" customWidth="1" min="6" max="6"/>
    <col width="8" customWidth="1" min="7" max="7"/>
  </cols>
  <sheetData>
    <row r="1" ht="30" customHeight="1">
      <c r="A1" s="8" t="inlineStr">
        <is>
          <t>Day</t>
        </is>
      </c>
      <c r="B1" s="8" t="inlineStr">
        <is>
          <t>Date</t>
        </is>
      </c>
      <c r="C1" s="8" t="inlineStr">
        <is>
          <t>Section</t>
        </is>
      </c>
      <c r="D1" s="8" t="inlineStr">
        <is>
          <t>Level</t>
        </is>
      </c>
      <c r="E1" s="8" t="inlineStr">
        <is>
          <t>Question</t>
        </is>
      </c>
      <c r="F1" s="8" t="inlineStr">
        <is>
          <t>Answer</t>
        </is>
      </c>
      <c r="G1" s="8" t="inlineStr">
        <is>
          <t>Known</t>
        </is>
      </c>
    </row>
    <row r="2">
      <c r="A2" s="13" t="n">
        <v>1</v>
      </c>
      <c r="B2" s="24" t="n">
        <v>46293</v>
      </c>
      <c r="C2" s="13" t="inlineStr">
        <is>
          <t>HLD</t>
        </is>
      </c>
      <c r="D2" s="18" t="inlineStr">
        <is>
          <t>Basic</t>
        </is>
      </c>
      <c r="E2" s="13" t="inlineStr">
        <is>
          <t>What happens, step by step, when you type a URL into the browser and press Enter?</t>
        </is>
      </c>
      <c r="F2" s="13" t="inlineStr">
        <is>
          <t>The browser parses the URL and resolves the domain to an IP via DNS (checking browser cache, OS cache, then the resolver). It opens a TCP connection with a three-way handshake, then a TLS handshake for HTTPS. It sends an HTTP request, the server (often behind a load balancer) processes it and returns a response. The browser parses the HTML, fetches CSS/JS/images (reusing connections), builds the DOM and renders the page.</t>
        </is>
      </c>
      <c r="G2" s="13" t="inlineStr"/>
    </row>
    <row r="3">
      <c r="A3" s="13" t="n">
        <v>1</v>
      </c>
      <c r="B3" s="24" t="n">
        <v>46293</v>
      </c>
      <c r="C3" s="13" t="inlineStr">
        <is>
          <t>HLD</t>
        </is>
      </c>
      <c r="D3" s="18" t="inlineStr">
        <is>
          <t>Basic</t>
        </is>
      </c>
      <c r="E3" s="13" t="inlineStr">
        <is>
          <t>What is DNS and what are the common record types?</t>
        </is>
      </c>
      <c r="F3" s="13" t="inlineStr">
        <is>
          <t>DNS is the distributed directory that maps human-readable names to IP addresses.
- A / AAAA: name to IPv4 / IPv6 address
- CNAME: alias of another name
- MX: mail server for the domain
- NS: authoritative name servers for the zone
- TXT: arbitrary text, used for verification and SPF
Each record has a TTL that controls how long resolvers may cache it.</t>
        </is>
      </c>
      <c r="G3" s="13" t="inlineStr"/>
    </row>
    <row r="4">
      <c r="A4" s="13" t="n">
        <v>1</v>
      </c>
      <c r="B4" s="24" t="n">
        <v>46293</v>
      </c>
      <c r="C4" s="13" t="inlineStr">
        <is>
          <t>HLD</t>
        </is>
      </c>
      <c r="D4" s="16" t="inlineStr">
        <is>
          <t>Intermediate</t>
        </is>
      </c>
      <c r="E4" s="13" t="inlineStr">
        <is>
          <t>Explain the DNS resolution hierarchy when nothing is cached.</t>
        </is>
      </c>
      <c r="F4" s="13" t="inlineStr">
        <is>
          <t>The browser and OS caches miss, so the stub resolver asks a recursive resolver (ISP, 8.8.8.8, 1.1.1.1). The recursive resolver asks a root server, which points to the TLD servers (.com). The TLD server points to the domain's authoritative name servers, which return the actual record. The recursive resolver caches the answer for the TTL and returns it to the client, so later lookups are fast.</t>
        </is>
      </c>
      <c r="G4" s="13" t="inlineStr"/>
    </row>
    <row r="5">
      <c r="A5" s="13" t="n">
        <v>1</v>
      </c>
      <c r="B5" s="24" t="n">
        <v>46293</v>
      </c>
      <c r="C5" s="13" t="inlineStr">
        <is>
          <t>HLD</t>
        </is>
      </c>
      <c r="D5" s="16" t="inlineStr">
        <is>
          <t>Intermediate</t>
        </is>
      </c>
      <c r="E5" s="13" t="inlineStr">
        <is>
          <t>What is the TCP three-way handshake and why does TLS add latency?</t>
        </is>
      </c>
      <c r="F5" s="13" t="inlineStr">
        <is>
          <t>TCP sets up a connection with SYN, SYN-ACK, ACK, costing one round trip before any data flows. TLS then negotiates cipher suites, verifies the server certificate and agrees on session keys: TLS 1.2 costs two extra round trips, TLS 1.3 costs one (zero with 0-RTT resumption). On a high-latency mobile link each round trip can be 100ms+, which is why connection reuse (keep-alive), HTTP/2 multiplexing and CDNs near users matter.</t>
        </is>
      </c>
      <c r="G5" s="13" t="inlineStr"/>
    </row>
    <row r="6">
      <c r="A6" s="13" t="n">
        <v>1</v>
      </c>
      <c r="B6" s="24" t="n">
        <v>46293</v>
      </c>
      <c r="C6" s="13" t="inlineStr">
        <is>
          <t>HLD</t>
        </is>
      </c>
      <c r="D6" s="17" t="inlineStr">
        <is>
          <t>Advanced</t>
        </is>
      </c>
      <c r="E6" s="13" t="inlineStr">
        <is>
          <t>A page is slow for users in another country. How do you break down where the latency is going?</t>
        </is>
      </c>
      <c r="F6" s="13" t="inlineStr">
        <is>
          <t>Split the request into phases using browser dev tools or synthetic monitoring: DNS lookup, TCP connect, TLS handshake, time to first byte (server time) and content download. High DNS/connect/TLS times point to distance, so fix with a CDN, edge TLS termination, longer DNS TTLs and keep-alive. High TTFB points to the server or database, so profile queries and add caching. Large download times point to payload size, so compress, minify, and cache static assets.</t>
        </is>
      </c>
      <c r="G6" s="13" t="inlineStr"/>
    </row>
    <row r="7">
      <c r="A7" s="13" t="n">
        <v>1</v>
      </c>
      <c r="B7" s="24" t="n">
        <v>46293</v>
      </c>
      <c r="C7" s="13" t="inlineStr">
        <is>
          <t>HLD</t>
        </is>
      </c>
      <c r="D7" s="17" t="inlineStr">
        <is>
          <t>Advanced</t>
        </is>
      </c>
      <c r="E7" s="13" t="inlineStr">
        <is>
          <t>What are the differences between HTTP/1.1, HTTP/2 and HTTP/3?</t>
        </is>
      </c>
      <c r="F7" s="13" t="inlineStr">
        <is>
          <t>HTTP/1.1 is text-based and allows one outstanding request per connection, so browsers open ~6 connections per host and suffer head-of-line blocking. HTTP/2 is binary, multiplexes many streams over one TCP connection and compresses headers (HPACK), but a lost TCP packet still stalls every stream. HTTP/3 runs over QUIC on UDP, so streams are independent at the transport level, and it merges the transport and TLS 1.3 handshake for faster setup and connection migration across networks.</t>
        </is>
      </c>
      <c r="G7" s="13" t="inlineStr"/>
    </row>
    <row r="8">
      <c r="A8" s="13" t="n">
        <v>1</v>
      </c>
      <c r="B8" s="24" t="n">
        <v>46293</v>
      </c>
      <c r="C8" s="13" t="inlineStr">
        <is>
          <t>LLD</t>
        </is>
      </c>
      <c r="D8" s="18" t="inlineStr">
        <is>
          <t>Basic</t>
        </is>
      </c>
      <c r="E8" s="13" t="inlineStr">
        <is>
          <t>What is the difference between a class and an object in C#?</t>
        </is>
      </c>
      <c r="F8" s="13" t="inlineStr">
        <is>
          <t>A class is a blueprint that defines state (fields, properties) and behaviour (methods). An object is a concrete instance of that class created at runtime with new, living on the managed heap with its own copy of instance fields. Many objects can be created from one class, and a variable of a class type holds a reference to an object, not the object itself.</t>
        </is>
      </c>
      <c r="G8" s="13" t="inlineStr"/>
    </row>
    <row r="9">
      <c r="A9" s="13" t="n">
        <v>1</v>
      </c>
      <c r="B9" s="24" t="n">
        <v>46293</v>
      </c>
      <c r="C9" s="13" t="inlineStr">
        <is>
          <t>LLD</t>
        </is>
      </c>
      <c r="D9" s="18" t="inlineStr">
        <is>
          <t>Basic</t>
        </is>
      </c>
      <c r="E9" s="13" t="inlineStr">
        <is>
          <t>What is encapsulation and how do you achieve it in C#?</t>
        </is>
      </c>
      <c r="F9" s="13" t="inlineStr">
        <is>
          <t>Encapsulation means hiding internal state and exposing only a controlled interface, so the object can protect its own invariants. In C# you use private fields, properties with restricted setters (private set, init), and methods that validate changes instead of public mutable fields.
```csharp
public class BankAccount {
    public decimal Balance { get; private set; }
    public void Deposit(decimal amount) {
        if (amount &lt;= 0) throw new ArgumentException("Amount must be positive");
        Balance += amount;
    }
}
```</t>
        </is>
      </c>
      <c r="G9" s="13" t="inlineStr"/>
    </row>
    <row r="10">
      <c r="A10" s="13" t="n">
        <v>1</v>
      </c>
      <c r="B10" s="24" t="n">
        <v>46293</v>
      </c>
      <c r="C10" s="13" t="inlineStr">
        <is>
          <t>LLD</t>
        </is>
      </c>
      <c r="D10" s="16" t="inlineStr">
        <is>
          <t>Intermediate</t>
        </is>
      </c>
      <c r="E10" s="13" t="inlineStr">
        <is>
          <t>Explain the access modifiers in C#.</t>
        </is>
      </c>
      <c r="F10" s="13" t="inlineStr">
        <is>
          <t>- public: accessible from anywhere
- private: only inside the declaring type (default for class members)
- protected: declaring type and derived types
- internal: anywhere in the same assembly (default for top-level types)
- protected internal: same assembly OR derived types
- private protected: derived types within the same assembly only</t>
        </is>
      </c>
      <c r="G10" s="13" t="inlineStr"/>
    </row>
    <row r="11">
      <c r="A11" s="13" t="n">
        <v>1</v>
      </c>
      <c r="B11" s="24" t="n">
        <v>46293</v>
      </c>
      <c r="C11" s="13" t="inlineStr">
        <is>
          <t>LLD</t>
        </is>
      </c>
      <c r="D11" s="16" t="inlineStr">
        <is>
          <t>Intermediate</t>
        </is>
      </c>
      <c r="E11" s="13" t="inlineStr">
        <is>
          <t>What is the difference between a class and a struct in C#?</t>
        </is>
      </c>
      <c r="F11" s="13" t="inlineStr">
        <is>
          <t>A class is a reference type allocated on the heap; assignment copies the reference, and it supports inheritance. A struct is a value type, copied by value on assignment, usually stored inline (stack or inside the containing object), and cannot inherit from another struct or class (it can implement interfaces). Use structs for small, immutable, short-lived values like a Point or Money to avoid GC pressure; use classes for entities with identity and behaviour.</t>
        </is>
      </c>
      <c r="G11" s="13" t="inlineStr"/>
    </row>
    <row r="12">
      <c r="A12" s="13" t="n">
        <v>1</v>
      </c>
      <c r="B12" s="24" t="n">
        <v>46293</v>
      </c>
      <c r="C12" s="13" t="inlineStr">
        <is>
          <t>LLD</t>
        </is>
      </c>
      <c r="D12" s="17" t="inlineStr">
        <is>
          <t>Advanced</t>
        </is>
      </c>
      <c r="E12" s="13" t="inlineStr">
        <is>
          <t>How would you design an immutable class in C# and why would you want one?</t>
        </is>
      </c>
      <c r="F12" s="13" t="inlineStr">
        <is>
          <t>Make all state read-only (get-only or init properties, readonly fields), set it only in the constructor, validate there, and return new instances instead of mutating. Also avoid exposing mutable collections (use IReadOnlyList or ImmutableArray). Immutable objects are thread-safe without locks, safe to use as dictionary keys and easier to reason about. C# records give you this concisely with value equality and with-expressions.</t>
        </is>
      </c>
      <c r="G12" s="13" t="inlineStr"/>
    </row>
    <row r="13">
      <c r="A13" s="13" t="n">
        <v>1</v>
      </c>
      <c r="B13" s="24" t="n">
        <v>46293</v>
      </c>
      <c r="C13" s="13" t="inlineStr">
        <is>
          <t>LLD</t>
        </is>
      </c>
      <c r="D13" s="17" t="inlineStr">
        <is>
          <t>Advanced</t>
        </is>
      </c>
      <c r="E13" s="13" t="inlineStr">
        <is>
          <t>What is the difference between properties and fields, and why prefer properties in public APIs?</t>
        </is>
      </c>
      <c r="F13" s="13" t="inlineStr">
        <is>
          <t>A field is a raw storage slot; a property is a pair of get/set accessor methods that may be backed by a field. Properties let you add validation, lazy loading, change notification or computed values later without breaking callers, since changing a public field to a property is a binary-breaking change. They also support different access levels per accessor (public get, private set), interfaces, and data binding/serialization conventions.</t>
        </is>
      </c>
      <c r="G13" s="13" t="inlineStr"/>
    </row>
    <row r="14">
      <c r="A14" s="13" t="n">
        <v>2</v>
      </c>
      <c r="B14" s="24" t="n">
        <v>46294</v>
      </c>
      <c r="C14" s="13" t="inlineStr">
        <is>
          <t>HLD</t>
        </is>
      </c>
      <c r="D14" s="18" t="inlineStr">
        <is>
          <t>Basic</t>
        </is>
      </c>
      <c r="E14" s="13" t="inlineStr">
        <is>
          <t>What is the difference between vertical and horizontal scaling?</t>
        </is>
      </c>
      <c r="F14" s="13" t="inlineStr">
        <is>
          <t>Vertical scaling (scale up) means giving one machine more CPU, RAM or faster disks. Horizontal scaling (scale out) means adding more machines and spreading load across them. Vertical is simpler because the code does not change, while horizontal needs a load balancer and stateless design but offers near-unlimited capacity and fault tolerance.</t>
        </is>
      </c>
      <c r="G14" s="13" t="inlineStr"/>
    </row>
    <row r="15">
      <c r="A15" s="13" t="n">
        <v>2</v>
      </c>
      <c r="B15" s="24" t="n">
        <v>46294</v>
      </c>
      <c r="C15" s="13" t="inlineStr">
        <is>
          <t>HLD</t>
        </is>
      </c>
      <c r="D15" s="18" t="inlineStr">
        <is>
          <t>Basic</t>
        </is>
      </c>
      <c r="E15" s="13" t="inlineStr">
        <is>
          <t>What are the limitations of vertical scaling?</t>
        </is>
      </c>
      <c r="F15" s="13" t="inlineStr">
        <is>
          <t>- There is a hard ceiling: the largest available machine
- Cost grows non-linearly at the high end
- It is a single point of failure
- Upgrades often need downtime or a restart
It is still a good first step, especially for databases, because it avoids distributed-systems complexity.</t>
        </is>
      </c>
      <c r="G15" s="13" t="inlineStr"/>
    </row>
    <row r="16">
      <c r="A16" s="13" t="n">
        <v>2</v>
      </c>
      <c r="B16" s="24" t="n">
        <v>46294</v>
      </c>
      <c r="C16" s="13" t="inlineStr">
        <is>
          <t>HLD</t>
        </is>
      </c>
      <c r="D16" s="16" t="inlineStr">
        <is>
          <t>Intermediate</t>
        </is>
      </c>
      <c r="E16" s="13" t="inlineStr">
        <is>
          <t>What does an application need to be horizontally scalable?</t>
        </is>
      </c>
      <c r="F16" s="13" t="inlineStr">
        <is>
          <t>App servers must be stateless: no in-memory sessions, local file uploads or in-process caches that other nodes need, so any node can serve any request. Shared state moves to external stores (Redis, database, S3). You need a load balancer with health checks, and ideally auto-scaling driven by metrics like CPU or request count. Background jobs and scheduled tasks also need coordination so they do not run twice on every node.</t>
        </is>
      </c>
      <c r="G16" s="13" t="inlineStr"/>
    </row>
    <row r="17">
      <c r="A17" s="13" t="n">
        <v>2</v>
      </c>
      <c r="B17" s="24" t="n">
        <v>46294</v>
      </c>
      <c r="C17" s="13" t="inlineStr">
        <is>
          <t>HLD</t>
        </is>
      </c>
      <c r="D17" s="16" t="inlineStr">
        <is>
          <t>Intermediate</t>
        </is>
      </c>
      <c r="E17" s="13" t="inlineStr">
        <is>
          <t>How do you scale the database tier as traffic grows?</t>
        </is>
      </c>
      <c r="F17" s="13" t="inlineStr">
        <is>
          <t>Start with vertical scaling and query/index tuning. Then scale reads: add a cache (Redis) for hot data and read replicas for read-heavy queries. Use connection pooling to protect the database from too many connections. Only when writes or data size exceed one primary, shard or partition the data, because sharding adds significant complexity to queries, transactions and operations.</t>
        </is>
      </c>
      <c r="G17" s="13" t="inlineStr"/>
    </row>
    <row r="18">
      <c r="A18" s="13" t="n">
        <v>2</v>
      </c>
      <c r="B18" s="24" t="n">
        <v>46294</v>
      </c>
      <c r="C18" s="13" t="inlineStr">
        <is>
          <t>HLD</t>
        </is>
      </c>
      <c r="D18" s="17" t="inlineStr">
        <is>
          <t>Advanced</t>
        </is>
      </c>
      <c r="E18" s="13" t="inlineStr">
        <is>
          <t>Your service handles 1,000 RPS and must reach 20,000 RPS. How do you approach it?</t>
        </is>
      </c>
      <c r="F18" s="13" t="inlineStr">
        <is>
          <t>First measure: find the bottleneck with metrics and load tests (CPU, DB, network, a downstream dependency). Make app servers stateless and scale them horizontally behind a load balancer with auto-scaling. Offload reads with caching and CDNs, add read replicas, and move slow work to queues processed asynchronously. Revisit the data layer last, sharding only if the write path is the limit, and add rate limiting so spikes degrade gracefully instead of cascading.</t>
        </is>
      </c>
      <c r="G18" s="13" t="inlineStr"/>
    </row>
    <row r="19">
      <c r="A19" s="13" t="n">
        <v>2</v>
      </c>
      <c r="B19" s="24" t="n">
        <v>46294</v>
      </c>
      <c r="C19" s="13" t="inlineStr">
        <is>
          <t>HLD</t>
        </is>
      </c>
      <c r="D19" s="17" t="inlineStr">
        <is>
          <t>Advanced</t>
        </is>
      </c>
      <c r="E19" s="13" t="inlineStr">
        <is>
          <t>What is the difference between scalability and performance, and how does Amdahl's law or contention limit scale-out?</t>
        </is>
      </c>
      <c r="F19" s="13" t="inlineStr">
        <is>
          <t>Performance is how fast one request is served; scalability is how well throughput grows as you add resources. Adding machines only helps the parallel part of the work: shared components such as a single database, a global lock or a coordinator become serial bottlenecks, so throughput flattens. Coordination overhead (locks, cross-node calls) can even make throughput drop as nodes are added, which is why you remove shared contention points before scaling out.</t>
        </is>
      </c>
      <c r="G19" s="13" t="inlineStr"/>
    </row>
    <row r="20">
      <c r="A20" s="13" t="n">
        <v>2</v>
      </c>
      <c r="B20" s="24" t="n">
        <v>46294</v>
      </c>
      <c r="C20" s="13" t="inlineStr">
        <is>
          <t>LLD</t>
        </is>
      </c>
      <c r="D20" s="18" t="inlineStr">
        <is>
          <t>Basic</t>
        </is>
      </c>
      <c r="E20" s="13" t="inlineStr">
        <is>
          <t>What is inheritance in C#?</t>
        </is>
      </c>
      <c r="F20" s="13" t="inlineStr">
        <is>
          <t>Inheritance lets a derived class reuse and extend a base class's members using the colon syntax (class Dog : Animal). It models an is-a relationship. C# supports single class inheritance but a class can implement many interfaces, and members marked virtual or abstract can be overridden in derived classes.</t>
        </is>
      </c>
      <c r="G20" s="13" t="inlineStr"/>
    </row>
    <row r="21">
      <c r="A21" s="13" t="n">
        <v>2</v>
      </c>
      <c r="B21" s="24" t="n">
        <v>46294</v>
      </c>
      <c r="C21" s="13" t="inlineStr">
        <is>
          <t>LLD</t>
        </is>
      </c>
      <c r="D21" s="18" t="inlineStr">
        <is>
          <t>Basic</t>
        </is>
      </c>
      <c r="E21" s="13" t="inlineStr">
        <is>
          <t>What is composition and how does it differ from inheritance?</t>
        </is>
      </c>
      <c r="F21" s="13" t="inlineStr">
        <is>
          <t>Composition builds a class by holding references to other objects and delegating work to them, modelling a has-a relationship (a Car has an Engine). Inheritance is decided at compile time and couples the child to the parent's implementation. Composition is flexible: parts can be swapped at runtime or injected via interfaces, which makes testing and change easier.</t>
        </is>
      </c>
      <c r="G21" s="13" t="inlineStr"/>
    </row>
    <row r="22">
      <c r="A22" s="13" t="n">
        <v>2</v>
      </c>
      <c r="B22" s="24" t="n">
        <v>46294</v>
      </c>
      <c r="C22" s="13" t="inlineStr">
        <is>
          <t>LLD</t>
        </is>
      </c>
      <c r="D22" s="16" t="inlineStr">
        <is>
          <t>Intermediate</t>
        </is>
      </c>
      <c r="E22" s="13" t="inlineStr">
        <is>
          <t>Why is 'favour composition over inheritance' a common guideline?</t>
        </is>
      </c>
      <c r="F22" s="13" t="inlineStr">
        <is>
          <t>Deep inheritance hierarchies create tight coupling: a change in the base class can break every subclass (the fragile base class problem). Subclasses often inherit behaviour they do not need, and combinations of features cause class explosion (FlyingSwimmingDuck). With composition you combine small behaviours through interfaces, change them at runtime and test each in isolation.
```csharp
public class Duck {
    private readonly IFlyBehavior _fly;
    public Duck(IFlyBehavior fly) =&gt; _fly = fly;
    public void Fly() =&gt; _fly.Fly();
}
```</t>
        </is>
      </c>
      <c r="G22" s="13" t="inlineStr"/>
    </row>
    <row r="23">
      <c r="A23" s="13" t="n">
        <v>2</v>
      </c>
      <c r="B23" s="24" t="n">
        <v>46294</v>
      </c>
      <c r="C23" s="13" t="inlineStr">
        <is>
          <t>LLD</t>
        </is>
      </c>
      <c r="D23" s="16" t="inlineStr">
        <is>
          <t>Intermediate</t>
        </is>
      </c>
      <c r="E23" s="13" t="inlineStr">
        <is>
          <t>What is the difference between abstract classes and interfaces, and when do you use each?</t>
        </is>
      </c>
      <c r="F23" s="13" t="inlineStr">
        <is>
          <t>An abstract class can hold state, constructors and shared implementation, and a class can extend only one. An interface defines a contract a class can implement many of; since C# 8 it can have default method implementations but no instance state. Use an abstract class when related types share real code and an is-a relationship; use an interface for a capability that unrelated types can have (IComparable, IDisposable) and for dependency injection.</t>
        </is>
      </c>
      <c r="G23" s="13" t="inlineStr"/>
    </row>
    <row r="24">
      <c r="A24" s="13" t="n">
        <v>2</v>
      </c>
      <c r="B24" s="24" t="n">
        <v>46294</v>
      </c>
      <c r="C24" s="13" t="inlineStr">
        <is>
          <t>LLD</t>
        </is>
      </c>
      <c r="D24" s="17" t="inlineStr">
        <is>
          <t>Advanced</t>
        </is>
      </c>
      <c r="E24" s="13" t="inlineStr">
        <is>
          <t>When is inheritance the right choice over composition?</t>
        </is>
      </c>
      <c r="F24" s="13" t="inlineStr">
        <is>
          <t>When there is a true, stable is-a relationship and substitutability holds (Liskov): every derived instance must work wherever the base is expected. Framework extension points are a good example (a custom Exception, an ASP.NET ControllerBase, a Stream subclass). Template Method scenarios, where the base defines an algorithm and subclasses fill steps, also fit. If you only want code reuse, prefer composition.</t>
        </is>
      </c>
      <c r="G24" s="13" t="inlineStr"/>
    </row>
    <row r="25">
      <c r="A25" s="13" t="n">
        <v>2</v>
      </c>
      <c r="B25" s="24" t="n">
        <v>46294</v>
      </c>
      <c r="C25" s="13" t="inlineStr">
        <is>
          <t>LLD</t>
        </is>
      </c>
      <c r="D25" s="17" t="inlineStr">
        <is>
          <t>Advanced</t>
        </is>
      </c>
      <c r="E25" s="13" t="inlineStr">
        <is>
          <t>Explain method hiding (new) versus overriding (override) in C#.</t>
        </is>
      </c>
      <c r="F25" s="13" t="inlineStr">
        <is>
          <t>override replaces a virtual base method, and the derived version is called even through a base-typed reference (runtime polymorphism). new hides the base method: the call is resolved by the compile-time type, so a base reference calls the base version. Hiding is usually a smell and the compiler warns if you do it without the new keyword.
```csharp
Base b = new Derived();
b.Virt(); // Derived.Virt (override)
b.Hidden(); // Base.Hidden (new)
```</t>
        </is>
      </c>
      <c r="G25" s="13" t="inlineStr"/>
    </row>
    <row r="26">
      <c r="A26" s="13" t="n">
        <v>3</v>
      </c>
      <c r="B26" s="24" t="n">
        <v>46295</v>
      </c>
      <c r="C26" s="13" t="inlineStr">
        <is>
          <t>HLD</t>
        </is>
      </c>
      <c r="D26" s="18" t="inlineStr">
        <is>
          <t>Basic</t>
        </is>
      </c>
      <c r="E26" s="13" t="inlineStr">
        <is>
          <t>What is a load balancer and why do we need one?</t>
        </is>
      </c>
      <c r="F26" s="13" t="inlineStr">
        <is>
          <t>A load balancer sits in front of a pool of servers and distributes incoming requests across them. It enables horizontal scaling, removes unhealthy servers via health checks, and hides individual servers behind one endpoint. It often also terminates TLS, and helps with zero-downtime deploys by draining nodes.</t>
        </is>
      </c>
      <c r="G26" s="13" t="inlineStr"/>
    </row>
    <row r="27">
      <c r="A27" s="13" t="n">
        <v>3</v>
      </c>
      <c r="B27" s="24" t="n">
        <v>46295</v>
      </c>
      <c r="C27" s="13" t="inlineStr">
        <is>
          <t>HLD</t>
        </is>
      </c>
      <c r="D27" s="18" t="inlineStr">
        <is>
          <t>Basic</t>
        </is>
      </c>
      <c r="E27" s="13" t="inlineStr">
        <is>
          <t>What is the difference between L4 and L7 load balancing?</t>
        </is>
      </c>
      <c r="F27" s="13" t="inlineStr">
        <is>
          <t>An L4 load balancer works at the transport layer: it routes TCP/UDP connections using IP and port without reading the payload, so it is very fast and protocol-agnostic (AWS NLB). An L7 load balancer understands HTTP, so it can route by path, host, header or cookie, terminate TLS, rewrite requests and do sticky sessions, at the cost of more CPU (AWS ALB, Nginx, Envoy).</t>
        </is>
      </c>
      <c r="G27" s="13" t="inlineStr"/>
    </row>
    <row r="28">
      <c r="A28" s="13" t="n">
        <v>3</v>
      </c>
      <c r="B28" s="24" t="n">
        <v>46295</v>
      </c>
      <c r="C28" s="13" t="inlineStr">
        <is>
          <t>HLD</t>
        </is>
      </c>
      <c r="D28" s="16" t="inlineStr">
        <is>
          <t>Intermediate</t>
        </is>
      </c>
      <c r="E28" s="13" t="inlineStr">
        <is>
          <t>Compare round robin, weighted round robin, least connections and IP hash.</t>
        </is>
      </c>
      <c r="F28" s="13" t="inlineStr">
        <is>
          <t>- Round robin: next server in order; simple, good when servers and requests are uniform
- Weighted round robin: bigger servers get proportionally more requests
- Least connections: send to the server with fewest active connections; best when request durations vary (long-polling, websockets, uploads)
- IP hash: hash the client IP to a server; gives affinity without cookies but can spread unevenly and reshuffles when servers change</t>
        </is>
      </c>
      <c r="G28" s="13" t="inlineStr"/>
    </row>
    <row r="29">
      <c r="A29" s="13" t="n">
        <v>3</v>
      </c>
      <c r="B29" s="24" t="n">
        <v>46295</v>
      </c>
      <c r="C29" s="13" t="inlineStr">
        <is>
          <t>HLD</t>
        </is>
      </c>
      <c r="D29" s="16" t="inlineStr">
        <is>
          <t>Intermediate</t>
        </is>
      </c>
      <c r="E29" s="13" t="inlineStr">
        <is>
          <t>How do health checks work and what makes a good one?</t>
        </is>
      </c>
      <c r="F29" s="13" t="inlineStr">
        <is>
          <t>The LB periodically calls an endpoint (for example /health) on each node and removes it after N consecutive failures, adding it back after M successes. Separate liveness (process is up) from readiness (can serve traffic, dependencies reachable). A good check is fast and cheap, but a deep check that fails when a shared DB is down can take every node out at once, so be careful what readiness depends on.</t>
        </is>
      </c>
      <c r="G29" s="13" t="inlineStr"/>
    </row>
    <row r="30">
      <c r="A30" s="13" t="n">
        <v>3</v>
      </c>
      <c r="B30" s="24" t="n">
        <v>46295</v>
      </c>
      <c r="C30" s="13" t="inlineStr">
        <is>
          <t>HLD</t>
        </is>
      </c>
      <c r="D30" s="17" t="inlineStr">
        <is>
          <t>Advanced</t>
        </is>
      </c>
      <c r="E30" s="13" t="inlineStr">
        <is>
          <t>The load balancer itself is a single point of failure. How do you make it highly available?</t>
        </is>
      </c>
      <c r="F30" s="13" t="inlineStr">
        <is>
          <t>Run LBs in active-passive or active-active pairs sharing a virtual IP (keepalived/VRRP), so a standby takes over the IP on failure. Use DNS with multiple LB IPs or anycast for global distribution. Managed cloud LBs (ALB/NLB) are already spread across availability zones. At larger scale, a layered design is common: DNS or anycast to many L4 LBs, which fan out to L7 proxies.</t>
        </is>
      </c>
      <c r="G30" s="13" t="inlineStr"/>
    </row>
    <row r="31">
      <c r="A31" s="13" t="n">
        <v>3</v>
      </c>
      <c r="B31" s="24" t="n">
        <v>46295</v>
      </c>
      <c r="C31" s="13" t="inlineStr">
        <is>
          <t>HLD</t>
        </is>
      </c>
      <c r="D31" s="17" t="inlineStr">
        <is>
          <t>Advanced</t>
        </is>
      </c>
      <c r="E31" s="13" t="inlineStr">
        <is>
          <t>How would you use consistent hashing in a load balancer, and why?</t>
        </is>
      </c>
      <c r="F31" s="13" t="inlineStr">
        <is>
          <t>Consistent hashing places servers and keys on a hash ring; a request goes to the next server clockwise from its key's hash. When a server is added or removed, only about 1/N of keys move, unlike modulo hashing where almost everything reshuffles. It is used when affinity matters, such as routing to cache nodes so each keeps a warm cache. Virtual nodes (many points per server) smooth out uneven distribution.</t>
        </is>
      </c>
      <c r="G31" s="13" t="inlineStr"/>
    </row>
    <row r="32">
      <c r="A32" s="13" t="n">
        <v>3</v>
      </c>
      <c r="B32" s="24" t="n">
        <v>46295</v>
      </c>
      <c r="C32" s="13" t="inlineStr">
        <is>
          <t>LLD</t>
        </is>
      </c>
      <c r="D32" s="18" t="inlineStr">
        <is>
          <t>Basic</t>
        </is>
      </c>
      <c r="E32" s="13" t="inlineStr">
        <is>
          <t>What is polymorphism in C#?</t>
        </is>
      </c>
      <c r="F32" s="13" t="inlineStr">
        <is>
          <t>Polymorphism means one interface, many implementations: code written against a base type or interface works with any derived type. Compile-time polymorphism is method overloading; runtime polymorphism is virtual/override or interface implementation, where the actual method is chosen by the object's runtime type via virtual dispatch.</t>
        </is>
      </c>
      <c r="G32" s="13" t="inlineStr"/>
    </row>
    <row r="33">
      <c r="A33" s="13" t="n">
        <v>3</v>
      </c>
      <c r="B33" s="24" t="n">
        <v>46295</v>
      </c>
      <c r="C33" s="13" t="inlineStr">
        <is>
          <t>LLD</t>
        </is>
      </c>
      <c r="D33" s="18" t="inlineStr">
        <is>
          <t>Basic</t>
        </is>
      </c>
      <c r="E33" s="13" t="inlineStr">
        <is>
          <t>What is an interface in C# and why is it useful?</t>
        </is>
      </c>
      <c r="F33" s="13" t="inlineStr">
        <is>
          <t>An interface is a contract of members that implementing types must provide, with no instance state. It decouples callers from concrete classes, enables dependency injection and mocking in tests, and lets unrelated types share a capability. A class can implement multiple interfaces, which is how C# gets the benefits of multiple inheritance safely.</t>
        </is>
      </c>
      <c r="G33" s="13" t="inlineStr"/>
    </row>
    <row r="34">
      <c r="A34" s="13" t="n">
        <v>3</v>
      </c>
      <c r="B34" s="24" t="n">
        <v>46295</v>
      </c>
      <c r="C34" s="13" t="inlineStr">
        <is>
          <t>LLD</t>
        </is>
      </c>
      <c r="D34" s="16" t="inlineStr">
        <is>
          <t>Intermediate</t>
        </is>
      </c>
      <c r="E34" s="13" t="inlineStr">
        <is>
          <t>Design an ILoadBalancingStrategy with round robin and random implementations.</t>
        </is>
      </c>
      <c r="F34" s="13" t="inlineStr">
        <is>
          <t>Define an interface with one method that picks a server, then implement each algorithm as its own class. The load balancer depends only on the interface, so strategies can be swapped via configuration or DI.
```csharp
public interface ILoadBalancingStrategy {
    Server Select(IReadOnlyList&lt;Server&gt; servers);
}
public class RoundRobinStrategy : ILoadBalancingStrategy {
    private int _index = -1;
    public Server Select(IReadOnlyList&lt;Server&gt; servers) {
        int i = Interlocked.Increment(ref _index);
        return servers[(i &amp; int.MaxValue) % servers.Count];
    }
}
```</t>
        </is>
      </c>
      <c r="G34" s="13" t="inlineStr"/>
    </row>
    <row r="35">
      <c r="A35" s="13" t="n">
        <v>3</v>
      </c>
      <c r="B35" s="24" t="n">
        <v>46295</v>
      </c>
      <c r="C35" s="13" t="inlineStr">
        <is>
          <t>LLD</t>
        </is>
      </c>
      <c r="D35" s="16" t="inlineStr">
        <is>
          <t>Intermediate</t>
        </is>
      </c>
      <c r="E35" s="13" t="inlineStr">
        <is>
          <t>What is the difference between method overloading and method overriding?</t>
        </is>
      </c>
      <c r="F35" s="13" t="inlineStr">
        <is>
          <t>Overloading means several methods with the same name but different parameter lists in the same type; the compiler picks one at compile time based on argument types. Overriding means a derived class provides a new implementation of a virtual, abstract or interface method with the same signature, and the runtime picks it based on the actual object type. Return type alone cannot distinguish overloads.</t>
        </is>
      </c>
      <c r="G35" s="13" t="inlineStr"/>
    </row>
    <row r="36">
      <c r="A36" s="13" t="n">
        <v>3</v>
      </c>
      <c r="B36" s="24" t="n">
        <v>46295</v>
      </c>
      <c r="C36" s="13" t="inlineStr">
        <is>
          <t>LLD</t>
        </is>
      </c>
      <c r="D36" s="17" t="inlineStr">
        <is>
          <t>Advanced</t>
        </is>
      </c>
      <c r="E36" s="13" t="inlineStr">
        <is>
          <t>How would you implement a thread-safe least-connections strategy?</t>
        </is>
      </c>
      <c r="F36" s="13" t="inlineStr">
        <is>
          <t>Track active connection counts per server with Interlocked operations or a ConcurrentDictionary, pick the server with the minimum count, and increment it; decrement when the request completes (typically in a finally block or via an IDisposable lease). The scan-then-increment is not atomic, so under heavy contention two requests may pick the same server; that is usually acceptable, or you can use power-of-two-choices (pick two random servers, choose the less loaded) which is cheap and nearly as good.</t>
        </is>
      </c>
      <c r="G36" s="13" t="inlineStr"/>
    </row>
    <row r="37">
      <c r="A37" s="13" t="n">
        <v>3</v>
      </c>
      <c r="B37" s="24" t="n">
        <v>46295</v>
      </c>
      <c r="C37" s="13" t="inlineStr">
        <is>
          <t>LLD</t>
        </is>
      </c>
      <c r="D37" s="17" t="inlineStr">
        <is>
          <t>Advanced</t>
        </is>
      </c>
      <c r="E37" s="13" t="inlineStr">
        <is>
          <t>What is explicit interface implementation and when would you use it?</t>
        </is>
      </c>
      <c r="F37" s="13" t="inlineStr">
        <is>
          <t>Explicit implementation (void IFoo.Run()) makes the member accessible only through the interface type, not through the class reference. Use it when a class implements two interfaces with conflicting member names, or to hide a member that should not be part of the class's public surface (for example IDisposable-like plumbing or legacy non-generic interfaces such as IEnumerable.GetEnumerator alongside the generic one).</t>
        </is>
      </c>
      <c r="G37" s="13" t="inlineStr"/>
    </row>
    <row r="38">
      <c r="A38" s="13" t="n">
        <v>4</v>
      </c>
      <c r="B38" s="24" t="n">
        <v>46296</v>
      </c>
      <c r="C38" s="13" t="inlineStr">
        <is>
          <t>HLD</t>
        </is>
      </c>
      <c r="D38" s="18" t="inlineStr">
        <is>
          <t>Basic</t>
        </is>
      </c>
      <c r="E38" s="13" t="inlineStr">
        <is>
          <t>What is a stateless server?</t>
        </is>
      </c>
      <c r="F38" s="13" t="inlineStr">
        <is>
          <t>A stateless server keeps no client-specific data between requests in its own memory or disk; every request carries or references everything needed to handle it. State lives in shared stores like a database, Redis or the client token. Because any server can handle any request, you can add, remove or restart servers freely.</t>
        </is>
      </c>
      <c r="G38" s="13" t="inlineStr"/>
    </row>
    <row r="39">
      <c r="A39" s="13" t="n">
        <v>4</v>
      </c>
      <c r="B39" s="24" t="n">
        <v>46296</v>
      </c>
      <c r="C39" s="13" t="inlineStr">
        <is>
          <t>HLD</t>
        </is>
      </c>
      <c r="D39" s="18" t="inlineStr">
        <is>
          <t>Basic</t>
        </is>
      </c>
      <c r="E39" s="13" t="inlineStr">
        <is>
          <t>What are sticky sessions and what problems do they cause?</t>
        </is>
      </c>
      <c r="F39" s="13" t="inlineStr">
        <is>
          <t>Sticky sessions (session affinity) make the load balancer send a client to the same server each time, usually via a cookie, so in-memory session data keeps working. Problems: load becomes uneven because heavy users pin to one node, sessions are lost when that node crashes or is redeployed, and scaling in/out is harder. They are a workaround, not a design goal.</t>
        </is>
      </c>
      <c r="G39" s="13" t="inlineStr"/>
    </row>
    <row r="40">
      <c r="A40" s="13" t="n">
        <v>4</v>
      </c>
      <c r="B40" s="24" t="n">
        <v>46296</v>
      </c>
      <c r="C40" s="13" t="inlineStr">
        <is>
          <t>HLD</t>
        </is>
      </c>
      <c r="D40" s="16" t="inlineStr">
        <is>
          <t>Intermediate</t>
        </is>
      </c>
      <c r="E40" s="13" t="inlineStr">
        <is>
          <t>How do you move session state out of the application servers?</t>
        </is>
      </c>
      <c r="F40" s="13" t="inlineStr">
        <is>
          <t>Store sessions in a shared, fast store such as Redis (ASP.NET Core's distributed cache/session providers support this) keyed by a session ID in a cookie, with a TTL for expiry. Alternatively use a database table, which is simpler but slower. Or make the client carry the state in a signed token like a JWT. Redis is the common choice because of low latency, built-in expiry and replication.</t>
        </is>
      </c>
      <c r="G40" s="13" t="inlineStr"/>
    </row>
    <row r="41">
      <c r="A41" s="13" t="n">
        <v>4</v>
      </c>
      <c r="B41" s="24" t="n">
        <v>46296</v>
      </c>
      <c r="C41" s="13" t="inlineStr">
        <is>
          <t>HLD</t>
        </is>
      </c>
      <c r="D41" s="16" t="inlineStr">
        <is>
          <t>Intermediate</t>
        </is>
      </c>
      <c r="E41" s="13" t="inlineStr">
        <is>
          <t>Compare server-side sessions in Redis with JWT tokens.</t>
        </is>
      </c>
      <c r="F41" s="13" t="inlineStr">
        <is>
          <t>Server-side sessions: the cookie holds only an opaque ID, the data lives in Redis, and logout or revocation is instant by deleting the key; the cost is a lookup per request and a dependency on Redis. JWT: the signed token carries the claims, so any server can validate it without a lookup, which scales well across services. The downsides are that revocation before expiry is hard (needs short expiry plus refresh tokens or a denylist) and tokens grow in size.</t>
        </is>
      </c>
      <c r="G41" s="13" t="inlineStr"/>
    </row>
    <row r="42">
      <c r="A42" s="13" t="n">
        <v>4</v>
      </c>
      <c r="B42" s="24" t="n">
        <v>46296</v>
      </c>
      <c r="C42" s="13" t="inlineStr">
        <is>
          <t>HLD</t>
        </is>
      </c>
      <c r="D42" s="17" t="inlineStr">
        <is>
          <t>Advanced</t>
        </is>
      </c>
      <c r="E42" s="13" t="inlineStr">
        <is>
          <t>How do you handle JWT revocation and logout in a stateless architecture?</t>
        </is>
      </c>
      <c r="F42" s="13" t="inlineStr">
        <is>
          <t>Keep access tokens short-lived (5-15 minutes) and issue a longer-lived refresh token stored server-side, so revoking the refresh token cuts access within minutes. For immediate revocation keep a small denylist of token IDs (jti) in Redis until their expiry, or a per-user token version checked on each request. Rotate refresh tokens on use to detect theft. This keeps most requests lookup-free while still allowing forced logout.</t>
        </is>
      </c>
      <c r="G42" s="13" t="inlineStr"/>
    </row>
    <row r="43">
      <c r="A43" s="13" t="n">
        <v>4</v>
      </c>
      <c r="B43" s="24" t="n">
        <v>46296</v>
      </c>
      <c r="C43" s="13" t="inlineStr">
        <is>
          <t>HLD</t>
        </is>
      </c>
      <c r="D43" s="17" t="inlineStr">
        <is>
          <t>Advanced</t>
        </is>
      </c>
      <c r="E43" s="13" t="inlineStr">
        <is>
          <t>Besides sessions, what other hidden state can break a horizontally scaled app?</t>
        </is>
      </c>
      <c r="F43" s="13" t="inlineStr">
        <is>
          <t>- In-memory caches that diverge between nodes (use a distributed cache or invalidation messages)
- Files written to local disk, like uploads (use S3/blob storage)
- Scheduled jobs running on every instance (use a distributed lock or a single scheduler)
- WebSocket connections (need a pub/sub backplane like Redis for SignalR)
- ASP.NET Data Protection keys, which must be shared so cookies and anti-forgery tokens validate on all nodes</t>
        </is>
      </c>
      <c r="G43" s="13" t="inlineStr"/>
    </row>
    <row r="44">
      <c r="A44" s="13" t="n">
        <v>4</v>
      </c>
      <c r="B44" s="24" t="n">
        <v>46296</v>
      </c>
      <c r="C44" s="13" t="inlineStr">
        <is>
          <t>LLD</t>
        </is>
      </c>
      <c r="D44" s="18" t="inlineStr">
        <is>
          <t>Basic</t>
        </is>
      </c>
      <c r="E44" s="13" t="inlineStr">
        <is>
          <t>What does the Single Responsibility Principle mean?</t>
        </is>
      </c>
      <c r="F44" s="13" t="inlineStr">
        <is>
          <t>A class should have one reason to change, meaning it serves one actor or concern. For example, an OrderService that validates, saves, emails and logs has four reasons to change. Splitting it into OrderValidator, OrderRepository and EmailNotifier makes each class smaller, easier to test and safer to modify.</t>
        </is>
      </c>
      <c r="G44" s="13" t="inlineStr"/>
    </row>
    <row r="45">
      <c r="A45" s="13" t="n">
        <v>4</v>
      </c>
      <c r="B45" s="24" t="n">
        <v>46296</v>
      </c>
      <c r="C45" s="13" t="inlineStr">
        <is>
          <t>LLD</t>
        </is>
      </c>
      <c r="D45" s="18" t="inlineStr">
        <is>
          <t>Basic</t>
        </is>
      </c>
      <c r="E45" s="13" t="inlineStr">
        <is>
          <t>What does the Open/Closed Principle mean?</t>
        </is>
      </c>
      <c r="F45" s="13" t="inlineStr">
        <is>
          <t>Software entities should be open for extension but closed for modification: you add new behaviour by adding new code (a new class implementing an interface) rather than editing existing, tested code. It is usually achieved with abstractions, polymorphism and patterns like Strategy, so adding a new payment method does not require touching a growing switch statement.</t>
        </is>
      </c>
      <c r="G45" s="13" t="inlineStr"/>
    </row>
    <row r="46">
      <c r="A46" s="13" t="n">
        <v>4</v>
      </c>
      <c r="B46" s="24" t="n">
        <v>46296</v>
      </c>
      <c r="C46" s="13" t="inlineStr">
        <is>
          <t>LLD</t>
        </is>
      </c>
      <c r="D46" s="16" t="inlineStr">
        <is>
          <t>Intermediate</t>
        </is>
      </c>
      <c r="E46" s="13" t="inlineStr">
        <is>
          <t>Refactor this into an OCP-compliant design: a DiscountCalculator with a switch on customer type.</t>
        </is>
      </c>
      <c r="F46" s="13" t="inlineStr">
        <is>
          <t>Replace the switch with an interface where each customer type is its own class, and register them in DI or a dictionary. Adding a new type now means adding a class, not editing the calculator.
```csharp
public interface IDiscountPolicy {
    string CustomerType { get; }
    decimal Apply(decimal amount);
}
public class PremiumDiscount : IDiscountPolicy {
    public string CustomerType =&gt; "Premium";
    public decimal Apply(decimal amount) =&gt; amount * 0.9m;
}
```
The calculator receives IEnumerable&lt;IDiscountPolicy&gt; and picks by CustomerType.</t>
        </is>
      </c>
      <c r="G46" s="13" t="inlineStr"/>
    </row>
    <row r="47">
      <c r="A47" s="13" t="n">
        <v>4</v>
      </c>
      <c r="B47" s="24" t="n">
        <v>46296</v>
      </c>
      <c r="C47" s="13" t="inlineStr">
        <is>
          <t>LLD</t>
        </is>
      </c>
      <c r="D47" s="16" t="inlineStr">
        <is>
          <t>Intermediate</t>
        </is>
      </c>
      <c r="E47" s="13" t="inlineStr">
        <is>
          <t>How do you recognise an SRP violation in real code?</t>
        </is>
      </c>
      <c r="F47" s="13" t="inlineStr">
        <is>
          <t>- The class name has 'And' or is vague like Manager, Helper or Utils
- It has many unrelated dependencies in the constructor
- Unrelated changes (UI format, DB schema, business rule) all touch the same file
- Tests need many mocks to set up
- Methods group into clusters that use different fields</t>
        </is>
      </c>
      <c r="G47" s="13" t="inlineStr"/>
    </row>
    <row r="48">
      <c r="A48" s="13" t="n">
        <v>4</v>
      </c>
      <c r="B48" s="24" t="n">
        <v>46296</v>
      </c>
      <c r="C48" s="13" t="inlineStr">
        <is>
          <t>LLD</t>
        </is>
      </c>
      <c r="D48" s="17" t="inlineStr">
        <is>
          <t>Advanced</t>
        </is>
      </c>
      <c r="E48" s="13" t="inlineStr">
        <is>
          <t>Can applying SRP and OCP go too far? How do you balance them?</t>
        </is>
      </c>
      <c r="F48" s="13" t="inlineStr">
        <is>
          <t>Yes: splitting every method into its own class or adding interfaces for things that never vary creates indirection, more files and harder navigation without benefit. Apply OCP at points where change is actually likely or has happened more than once (rule of three), and keep SRP at the level of cohesive responsibilities, not single methods. YAGNI and readability should balance the principles.</t>
        </is>
      </c>
      <c r="G48" s="13" t="inlineStr"/>
    </row>
    <row r="49">
      <c r="A49" s="13" t="n">
        <v>4</v>
      </c>
      <c r="B49" s="24" t="n">
        <v>46296</v>
      </c>
      <c r="C49" s="13" t="inlineStr">
        <is>
          <t>LLD</t>
        </is>
      </c>
      <c r="D49" s="17" t="inlineStr">
        <is>
          <t>Advanced</t>
        </is>
      </c>
      <c r="E49" s="13" t="inlineStr">
        <is>
          <t>How does SRP relate to cohesion and coupling?</t>
        </is>
      </c>
      <c r="F49" s="13" t="inlineStr">
        <is>
          <t>SRP pushes for high cohesion: everything inside a class relates to one purpose and uses the same data. When responsibilities are split into cohesive classes connected through narrow interfaces, coupling between them drops. High cohesion with low coupling means changes stay local, which is the actual goal SRP serves.</t>
        </is>
      </c>
      <c r="G49" s="13" t="inlineStr"/>
    </row>
    <row r="50">
      <c r="A50" s="13" t="n">
        <v>5</v>
      </c>
      <c r="B50" s="24" t="n">
        <v>46297</v>
      </c>
      <c r="C50" s="13" t="inlineStr">
        <is>
          <t>HLD</t>
        </is>
      </c>
      <c r="D50" s="18" t="inlineStr">
        <is>
          <t>Basic</t>
        </is>
      </c>
      <c r="E50" s="13" t="inlineStr">
        <is>
          <t>What are the key principles of REST API design?</t>
        </is>
      </c>
      <c r="F50" s="13" t="inlineStr">
        <is>
          <t>Model resources as nouns in URLs (/orders/42), use HTTP methods as verbs (GET, POST, PUT, PATCH, DELETE), keep requests stateless, and return proper status codes. Use consistent JSON representations, plural resource names, nested routes for clear ownership (/users/5/orders) and query parameters for filtering, sorting and pagination.</t>
        </is>
      </c>
      <c r="G50" s="13" t="inlineStr"/>
    </row>
    <row r="51">
      <c r="A51" s="13" t="n">
        <v>5</v>
      </c>
      <c r="B51" s="24" t="n">
        <v>46297</v>
      </c>
      <c r="C51" s="13" t="inlineStr">
        <is>
          <t>HLD</t>
        </is>
      </c>
      <c r="D51" s="18" t="inlineStr">
        <is>
          <t>Basic</t>
        </is>
      </c>
      <c r="E51" s="13" t="inlineStr">
        <is>
          <t>Explain the most common HTTP status codes you use in an API.</t>
        </is>
      </c>
      <c r="F51" s="13" t="inlineStr">
        <is>
          <t>- 200 OK, 201 Created (with Location header), 204 No Content
- 400 Bad Request (validation), 401 Unauthorized (not authenticated), 403 Forbidden (not allowed)
- 404 Not Found, 409 Conflict (duplicate or version clash), 422 Unprocessable Entity
- 429 Too Many Requests (rate limited, with Retry-After)
- 500 Internal Server Error, 502 Bad Gateway, 503 Service Unavailable, 504 Gateway Timeout</t>
        </is>
      </c>
      <c r="G51" s="13" t="inlineStr"/>
    </row>
    <row r="52">
      <c r="A52" s="13" t="n">
        <v>5</v>
      </c>
      <c r="B52" s="24" t="n">
        <v>46297</v>
      </c>
      <c r="C52" s="13" t="inlineStr">
        <is>
          <t>HLD</t>
        </is>
      </c>
      <c r="D52" s="16" t="inlineStr">
        <is>
          <t>Intermediate</t>
        </is>
      </c>
      <c r="E52" s="13" t="inlineStr">
        <is>
          <t>What is idempotency and which HTTP methods are idempotent?</t>
        </is>
      </c>
      <c r="F52" s="13" t="inlineStr">
        <is>
          <t>An operation is idempotent if doing it multiple times has the same effect on the server as doing it once. GET, HEAD, PUT and DELETE are idempotent (and GET is also safe, meaning no side effects). POST is not, since repeating it may create duplicates, and PATCH is not guaranteed to be. Idempotency matters because clients and proxies retry on timeouts.</t>
        </is>
      </c>
      <c r="G52" s="13" t="inlineStr"/>
    </row>
    <row r="53">
      <c r="A53" s="13" t="n">
        <v>5</v>
      </c>
      <c r="B53" s="24" t="n">
        <v>46297</v>
      </c>
      <c r="C53" s="13" t="inlineStr">
        <is>
          <t>HLD</t>
        </is>
      </c>
      <c r="D53" s="16" t="inlineStr">
        <is>
          <t>Intermediate</t>
        </is>
      </c>
      <c r="E53" s="13" t="inlineStr">
        <is>
          <t>PUT vs PATCH vs POST: when do you use each?</t>
        </is>
      </c>
      <c r="F53" s="13" t="inlineStr">
        <is>
          <t>POST creates a subordinate resource where the server assigns the ID, or triggers an action. PUT replaces the full resource at a known URI (create-or-replace), so sending it twice gives the same result. PATCH applies a partial update to some fields, for example with JSON Merge Patch or JSON Patch. Using PUT with a partial body is a common mistake because missing fields should be treated as cleared.</t>
        </is>
      </c>
      <c r="G53" s="13" t="inlineStr"/>
    </row>
    <row r="54">
      <c r="A54" s="13" t="n">
        <v>5</v>
      </c>
      <c r="B54" s="24" t="n">
        <v>46297</v>
      </c>
      <c r="C54" s="13" t="inlineStr">
        <is>
          <t>HLD</t>
        </is>
      </c>
      <c r="D54" s="17" t="inlineStr">
        <is>
          <t>Advanced</t>
        </is>
      </c>
      <c r="E54" s="13" t="inlineStr">
        <is>
          <t>How do you make a payment POST endpoint safe to retry?</t>
        </is>
      </c>
      <c r="F54" s="13" t="inlineStr">
        <is>
          <t>Require the client to send an Idempotency-Key header (a UUID per logical operation). On first receipt, store the key with a processing status in a table or Redis with a unique constraint, execute the payment, then save the response against the key. A retry with the same key returns the stored response instead of charging again; a concurrent duplicate hits the unique constraint and gets 409 or waits. Keys expire after a window such as 24 hours.</t>
        </is>
      </c>
      <c r="G54" s="13" t="inlineStr"/>
    </row>
    <row r="55">
      <c r="A55" s="13" t="n">
        <v>5</v>
      </c>
      <c r="B55" s="24" t="n">
        <v>46297</v>
      </c>
      <c r="C55" s="13" t="inlineStr">
        <is>
          <t>HLD</t>
        </is>
      </c>
      <c r="D55" s="17" t="inlineStr">
        <is>
          <t>Advanced</t>
        </is>
      </c>
      <c r="E55" s="13" t="inlineStr">
        <is>
          <t>How do you handle API versioning, pagination and error responses at scale?</t>
        </is>
      </c>
      <c r="F55" s="13" t="inlineStr">
        <is>
          <t>Versioning: URL (/v1/orders) is most explicit; header or media-type versioning keeps URLs clean. Only bump the version for breaking changes and keep additive changes backward compatible. Pagination: offset/limit is simple but slow and inconsistent on deep pages; cursor (keyset) pagination using a stable sort key is efficient and stable under inserts. Errors: use one consistent body such as RFC 7807 Problem Details (type, title, status, detail, traceId) so clients can handle them generically.</t>
        </is>
      </c>
      <c r="G55" s="13" t="inlineStr"/>
    </row>
    <row r="56">
      <c r="A56" s="13" t="n">
        <v>5</v>
      </c>
      <c r="B56" s="24" t="n">
        <v>46297</v>
      </c>
      <c r="C56" s="13" t="inlineStr">
        <is>
          <t>LLD</t>
        </is>
      </c>
      <c r="D56" s="18" t="inlineStr">
        <is>
          <t>Basic</t>
        </is>
      </c>
      <c r="E56" s="13" t="inlineStr">
        <is>
          <t>What is the Liskov Substitution Principle?</t>
        </is>
      </c>
      <c r="F56" s="13" t="inlineStr">
        <is>
          <t>Objects of a derived class must be usable wherever the base class is expected without breaking correctness. A subclass should not strengthen preconditions, weaken postconditions, throw unexpected exceptions or leave methods unimplemented. The classic violation is Square inheriting Rectangle, where setting width also changes height and breaks callers' assumptions.</t>
        </is>
      </c>
      <c r="G56" s="13" t="inlineStr"/>
    </row>
    <row r="57">
      <c r="A57" s="13" t="n">
        <v>5</v>
      </c>
      <c r="B57" s="24" t="n">
        <v>46297</v>
      </c>
      <c r="C57" s="13" t="inlineStr">
        <is>
          <t>LLD</t>
        </is>
      </c>
      <c r="D57" s="18" t="inlineStr">
        <is>
          <t>Basic</t>
        </is>
      </c>
      <c r="E57" s="13" t="inlineStr">
        <is>
          <t>What is the Interface Segregation Principle?</t>
        </is>
      </c>
      <c r="F57" s="13" t="inlineStr">
        <is>
          <t>Clients should not be forced to depend on methods they do not use. Instead of one fat IWorker with Work, Eat and Sleep, split it into small role interfaces like IWorkable and IFeedable. A class implementing a fat interface often throws NotImplementedException, which is a clear sign of an ISP (and LSP) violation.</t>
        </is>
      </c>
      <c r="G57" s="13" t="inlineStr"/>
    </row>
    <row r="58">
      <c r="A58" s="13" t="n">
        <v>5</v>
      </c>
      <c r="B58" s="24" t="n">
        <v>46297</v>
      </c>
      <c r="C58" s="13" t="inlineStr">
        <is>
          <t>LLD</t>
        </is>
      </c>
      <c r="D58" s="16" t="inlineStr">
        <is>
          <t>Intermediate</t>
        </is>
      </c>
      <c r="E58" s="13" t="inlineStr">
        <is>
          <t>What is the Dependency Inversion Principle and how does ASP.NET Core support it?</t>
        </is>
      </c>
      <c r="F58" s="13" t="inlineStr">
        <is>
          <t>High-level modules should not depend on low-level modules; both should depend on abstractions, and abstractions should not depend on details. In practice an OrderService depends on IOrderRepository, not SqlOrderRepository. ASP.NET Core's built-in DI container wires the concrete implementation at startup, so business logic stays testable and swappable.
```csharp
builder.Services.AddScoped&lt;IOrderRepository, SqlOrderRepository&gt;();
public class OrderService(IOrderRepository repo) { }
```</t>
        </is>
      </c>
      <c r="G58" s="13" t="inlineStr"/>
    </row>
    <row r="59">
      <c r="A59" s="13" t="n">
        <v>5</v>
      </c>
      <c r="B59" s="24" t="n">
        <v>46297</v>
      </c>
      <c r="C59" s="13" t="inlineStr">
        <is>
          <t>LLD</t>
        </is>
      </c>
      <c r="D59" s="16" t="inlineStr">
        <is>
          <t>Intermediate</t>
        </is>
      </c>
      <c r="E59" s="13" t="inlineStr">
        <is>
          <t>Give a real LSP violation you might see in .NET code.</t>
        </is>
      </c>
      <c r="F59" s="13" t="inlineStr">
        <is>
          <t>A ReadOnlyCollection implements IList&lt;T&gt;, yet Add throws NotSupportedException, so code written against IList&lt;T&gt; that adds items breaks. Another common one: a CachedRepository subclass that silently ignores Save or a subclass of a payment processor that throws for refunds. The fix is to model capabilities with smaller interfaces (IReadOnlyList, IRefundable) so types only promise what they can do.</t>
        </is>
      </c>
      <c r="G59" s="13" t="inlineStr"/>
    </row>
    <row r="60">
      <c r="A60" s="13" t="n">
        <v>5</v>
      </c>
      <c r="B60" s="24" t="n">
        <v>46297</v>
      </c>
      <c r="C60" s="13" t="inlineStr">
        <is>
          <t>LLD</t>
        </is>
      </c>
      <c r="D60" s="17" t="inlineStr">
        <is>
          <t>Advanced</t>
        </is>
      </c>
      <c r="E60" s="13" t="inlineStr">
        <is>
          <t>What is the difference between Dependency Inversion, Dependency Injection and Inversion of Control?</t>
        </is>
      </c>
      <c r="F60" s="13" t="inlineStr">
        <is>
          <t>Dependency Inversion is the design principle: depend on abstractions. Inversion of Control is the broader idea that a framework or container controls object creation and flow rather than your code. Dependency Injection is one technique to achieve both: dependencies are supplied from outside (constructor, method or property injection) instead of being created with new inside the class.</t>
        </is>
      </c>
      <c r="G60" s="13" t="inlineStr"/>
    </row>
    <row r="61">
      <c r="A61" s="13" t="n">
        <v>5</v>
      </c>
      <c r="B61" s="24" t="n">
        <v>46297</v>
      </c>
      <c r="C61" s="13" t="inlineStr">
        <is>
          <t>LLD</t>
        </is>
      </c>
      <c r="D61" s="17" t="inlineStr">
        <is>
          <t>Advanced</t>
        </is>
      </c>
      <c r="E61" s="13" t="inlineStr">
        <is>
          <t>Explain DI service lifetimes in ASP.NET Core and the captive dependency problem.</t>
        </is>
      </c>
      <c r="F61" s="13" t="inlineStr">
        <is>
          <t>Transient creates a new instance each time it is resolved, Scoped creates one per HTTP request, and Singleton creates one for the app's lifetime. A captive dependency happens when a longer-lived service holds a shorter-lived one, for example a singleton injecting a scoped DbContext; the DbContext then lives forever, is shared across threads and requests, and causes concurrency bugs and stale data. Fix by injecting IServiceScopeFactory and creating a scope, or by aligning lifetimes; scope validation in Development catches this.</t>
        </is>
      </c>
      <c r="G61" s="13" t="inlineStr"/>
    </row>
    <row r="62">
      <c r="A62" s="13" t="n">
        <v>6</v>
      </c>
      <c r="B62" s="24" t="n">
        <v>46298</v>
      </c>
      <c r="C62" s="13" t="inlineStr">
        <is>
          <t>HLD</t>
        </is>
      </c>
      <c r="D62" s="18" t="inlineStr">
        <is>
          <t>Basic</t>
        </is>
      </c>
      <c r="E62" s="13" t="inlineStr">
        <is>
          <t>What are the three tiers in a 3-tier architecture?</t>
        </is>
      </c>
      <c r="F62" s="13" t="inlineStr">
        <is>
          <t>Presentation tier (the client or web front end, reached through a load balancer), the application tier (stateless app servers running business logic), and the data tier (the database and storage). Each tier can be scaled, secured and deployed independently, and tiers talk only to their neighbours.</t>
        </is>
      </c>
      <c r="G62" s="13" t="inlineStr"/>
    </row>
    <row r="63">
      <c r="A63" s="13" t="n">
        <v>6</v>
      </c>
      <c r="B63" s="24" t="n">
        <v>46298</v>
      </c>
      <c r="C63" s="13" t="inlineStr">
        <is>
          <t>HLD</t>
        </is>
      </c>
      <c r="D63" s="18" t="inlineStr">
        <is>
          <t>Basic</t>
        </is>
      </c>
      <c r="E63" s="13" t="inlineStr">
        <is>
          <t>Why should app servers and the database live in separate tiers and subnets?</t>
        </is>
      </c>
      <c r="F63" s="13" t="inlineStr">
        <is>
          <t>Separation lets you scale app servers horizontally without touching the database and gives each tier a different security boundary. In a cloud setup the LB sits in a public subnet, while app servers and the DB sit in private subnets, and security groups allow only LB-to-app and app-to-DB traffic. This limits the blast radius if one layer is compromised.</t>
        </is>
      </c>
      <c r="G63" s="13" t="inlineStr"/>
    </row>
    <row r="64">
      <c r="A64" s="13" t="n">
        <v>6</v>
      </c>
      <c r="B64" s="24" t="n">
        <v>46298</v>
      </c>
      <c r="C64" s="13" t="inlineStr">
        <is>
          <t>HLD</t>
        </is>
      </c>
      <c r="D64" s="16" t="inlineStr">
        <is>
          <t>Intermediate</t>
        </is>
      </c>
      <c r="E64" s="13" t="inlineStr">
        <is>
          <t>How does each tier fail and how does it recover?</t>
        </is>
      </c>
      <c r="F64" s="13" t="inlineStr">
        <is>
          <t>- LB: managed LBs span multiple AZs; self-hosted ones use active-passive pairs with a floating IP
- App servers: health checks remove bad nodes and an auto-scaling group replaces them; statelessness means no data is lost
- Database: a Multi-AZ standby or replica is promoted on failure, with backups and point-in-time recovery for data loss
App servers also need timeouts, retries with backoff and connection pooling so a slow DB does not exhaust their threads.</t>
        </is>
      </c>
      <c r="G64" s="13" t="inlineStr"/>
    </row>
    <row r="65">
      <c r="A65" s="13" t="n">
        <v>6</v>
      </c>
      <c r="B65" s="24" t="n">
        <v>46298</v>
      </c>
      <c r="C65" s="13" t="inlineStr">
        <is>
          <t>HLD</t>
        </is>
      </c>
      <c r="D65" s="16" t="inlineStr">
        <is>
          <t>Intermediate</t>
        </is>
      </c>
      <c r="E65" s="13" t="inlineStr">
        <is>
          <t>Where would you add caching in a 3-tier app?</t>
        </is>
      </c>
      <c r="F65" s="13" t="inlineStr">
        <is>
          <t>Put a CDN in front for static assets and cacheable GET responses, add a distributed cache like Redis between the app tier and the database for hot reads (cache-aside), and use HTTP caching headers so browsers cache too. In-process memory caching works for small, rarely changing reference data. Each layer reduces load on the tier behind it, with the database being the most expensive to scale.</t>
        </is>
      </c>
      <c r="G65" s="13" t="inlineStr"/>
    </row>
    <row r="66">
      <c r="A66" s="13" t="n">
        <v>6</v>
      </c>
      <c r="B66" s="24" t="n">
        <v>46298</v>
      </c>
      <c r="C66" s="13" t="inlineStr">
        <is>
          <t>HLD</t>
        </is>
      </c>
      <c r="D66" s="17" t="inlineStr">
        <is>
          <t>Advanced</t>
        </is>
      </c>
      <c r="E66" s="13" t="inlineStr">
        <is>
          <t>What changes when your 3-tier app gets 10x traffic?</t>
        </is>
      </c>
      <c r="F66" s="13" t="inlineStr">
        <is>
          <t>The app tier scales out easily through auto-scaling, so the database becomes the bottleneck. Steps: add Redis caching and read replicas, add connection pooling or a proxy (PgBouncer/RDS Proxy), move slow or non-critical work (emails, reports) to a message queue with workers, serve static content from a CDN, and add rate limiting. If writes still saturate the primary, partition the data or split services by domain.</t>
        </is>
      </c>
      <c r="G66" s="13" t="inlineStr"/>
    </row>
    <row r="67">
      <c r="A67" s="13" t="n">
        <v>6</v>
      </c>
      <c r="B67" s="24" t="n">
        <v>46298</v>
      </c>
      <c r="C67" s="13" t="inlineStr">
        <is>
          <t>HLD</t>
        </is>
      </c>
      <c r="D67" s="17" t="inlineStr">
        <is>
          <t>Advanced</t>
        </is>
      </c>
      <c r="E67" s="13" t="inlineStr">
        <is>
          <t>How do you deploy a new version of a 3-tier app with zero downtime?</t>
        </is>
      </c>
      <c r="F67" s="13" t="inlineStr">
        <is>
          <t>Use rolling or blue-green deployments behind the LB: bring new instances up, let them pass readiness checks, then drain connections from old ones before terminating. Database schema changes must be backward compatible using expand-and-contract: add new columns/tables first, deploy code that works with both, backfill, then remove the old schema in a later release. Keep a quick rollback path such as swapping the LB target group back.</t>
        </is>
      </c>
      <c r="G67" s="13" t="inlineStr"/>
    </row>
    <row r="68">
      <c r="A68" s="13" t="n">
        <v>6</v>
      </c>
      <c r="B68" s="24" t="n">
        <v>46298</v>
      </c>
      <c r="C68" s="13" t="inlineStr">
        <is>
          <t>LLD</t>
        </is>
      </c>
      <c r="D68" s="18" t="inlineStr">
        <is>
          <t>Basic</t>
        </is>
      </c>
      <c r="E68" s="13" t="inlineStr">
        <is>
          <t>What problems does a naive NotificationService that sends email, SMS and push in one class have?</t>
        </is>
      </c>
      <c r="F68" s="13" t="inlineStr">
        <is>
          <t>It violates SRP because one class knows every channel's details, and OCP because adding WhatsApp means editing it and adding another if/switch branch. It is hard to test since it directly news up SMTP or SMS clients, and a failure in one channel's code can affect the others. It also tends to mix formatting, templating and sending logic.</t>
        </is>
      </c>
      <c r="G68" s="13" t="inlineStr"/>
    </row>
    <row r="69">
      <c r="A69" s="13" t="n">
        <v>6</v>
      </c>
      <c r="B69" s="24" t="n">
        <v>46298</v>
      </c>
      <c r="C69" s="13" t="inlineStr">
        <is>
          <t>LLD</t>
        </is>
      </c>
      <c r="D69" s="18" t="inlineStr">
        <is>
          <t>Basic</t>
        </is>
      </c>
      <c r="E69" s="13" t="inlineStr">
        <is>
          <t>How do you apply SRP to a notification sender?</t>
        </is>
      </c>
      <c r="F69" s="13" t="inlineStr">
        <is>
          <t>Split responsibilities into separate classes: a template or message builder formats content, a channel sender delivers through one channel, a preferences service decides which channels a user wants, and a dispatcher orchestrates. Each class then has a single reason to change: a new template format, a new SMS provider or a new rule.</t>
        </is>
      </c>
      <c r="G69" s="13" t="inlineStr"/>
    </row>
    <row r="70">
      <c r="A70" s="13" t="n">
        <v>6</v>
      </c>
      <c r="B70" s="24" t="n">
        <v>46298</v>
      </c>
      <c r="C70" s="13" t="inlineStr">
        <is>
          <t>LLD</t>
        </is>
      </c>
      <c r="D70" s="16" t="inlineStr">
        <is>
          <t>Intermediate</t>
        </is>
      </c>
      <c r="E70" s="13" t="inlineStr">
        <is>
          <t>Refactor the notification sender to be open for new channels without modification.</t>
        </is>
      </c>
      <c r="F70" s="13" t="inlineStr">
        <is>
          <t>Introduce an INotificationChannel interface; each channel is a class, and the dispatcher loops over injected channels. Adding a channel means adding a class and a DI registration.
```csharp
public interface INotificationChannel {
    string Name { get; }
    Task SendAsync(Notification n, CancellationToken ct);
}
public class NotificationDispatcher(IEnumerable&lt;INotificationChannel&gt; channels) {
    public Task SendAsync(Notification n, CancellationToken ct) =&gt;
        Task.WhenAll(channels.Where(c =&gt; n.Channels.Contains(c.Name))
                             .Select(c =&gt; c.SendAsync(n, ct)));
}
```</t>
        </is>
      </c>
      <c r="G70" s="13" t="inlineStr"/>
    </row>
    <row r="71">
      <c r="A71" s="13" t="n">
        <v>6</v>
      </c>
      <c r="B71" s="24" t="n">
        <v>46298</v>
      </c>
      <c r="C71" s="13" t="inlineStr">
        <is>
          <t>LLD</t>
        </is>
      </c>
      <c r="D71" s="16" t="inlineStr">
        <is>
          <t>Intermediate</t>
        </is>
      </c>
      <c r="E71" s="13" t="inlineStr">
        <is>
          <t>How does Dependency Inversion help test the notification sender?</t>
        </is>
      </c>
      <c r="F71" s="13" t="inlineStr">
        <is>
          <t>The dispatcher depends on INotificationChannel and, for example, ISmsGateway instead of a concrete Twilio client. In unit tests you inject fakes or mocks (Moq/NSubstitute) and assert they were called with the right message, without network calls. Swapping the real provider later only changes the DI registration.</t>
        </is>
      </c>
      <c r="G71" s="13" t="inlineStr"/>
    </row>
    <row r="72">
      <c r="A72" s="13" t="n">
        <v>6</v>
      </c>
      <c r="B72" s="24" t="n">
        <v>46298</v>
      </c>
      <c r="C72" s="13" t="inlineStr">
        <is>
          <t>LLD</t>
        </is>
      </c>
      <c r="D72" s="17" t="inlineStr">
        <is>
          <t>Advanced</t>
        </is>
      </c>
      <c r="E72" s="13" t="inlineStr">
        <is>
          <t>How would you handle one channel failing without affecting the others, and support retries?</t>
        </is>
      </c>
      <c r="F72" s="13" t="inlineStr">
        <is>
          <t>Send each channel independently and catch failures per channel rather than letting one exception fail the whole batch. Wrap each sender with a retry policy (Polly with exponential backoff and jitter) and a circuit breaker for a down provider. For reliability, enqueue each channel message to a queue, have workers process them, and move repeated failures to a dead-letter queue. Use a decorator such as RetryingChannel so retry logic stays out of each channel class.</t>
        </is>
      </c>
      <c r="G72" s="13" t="inlineStr"/>
    </row>
    <row r="73">
      <c r="A73" s="13" t="n">
        <v>6</v>
      </c>
      <c r="B73" s="24" t="n">
        <v>46298</v>
      </c>
      <c r="C73" s="13" t="inlineStr">
        <is>
          <t>LLD</t>
        </is>
      </c>
      <c r="D73" s="17" t="inlineStr">
        <is>
          <t>Advanced</t>
        </is>
      </c>
      <c r="E73" s="13" t="inlineStr">
        <is>
          <t>Which design patterns fit naturally in a notification system and why?</t>
        </is>
      </c>
      <c r="F73" s="13" t="inlineStr">
        <is>
          <t>- Strategy: each channel is an interchangeable sending strategy
- Factory: create the right channel or provider by name/config
- Decorator: add retry, logging or rate limiting around a channel without changing it
- Observer / pub-sub: domain events like OrderPlaced trigger notifications without the order code knowing about them
- Template Method or Builder: build messages from templates consistently</t>
        </is>
      </c>
      <c r="G73" s="13" t="inlineStr"/>
    </row>
    <row r="74">
      <c r="A74" s="13" t="n">
        <v>7</v>
      </c>
      <c r="B74" s="24" t="n">
        <v>46299</v>
      </c>
      <c r="C74" s="13" t="inlineStr">
        <is>
          <t>HLD</t>
        </is>
      </c>
      <c r="D74" s="18" t="inlineStr">
        <is>
          <t>Basic</t>
        </is>
      </c>
      <c r="E74" s="13" t="inlineStr">
        <is>
          <t>Rapid fire: summarise what happens when you hit a URL in two sentences.</t>
        </is>
      </c>
      <c r="F74" s="13" t="inlineStr">
        <is>
          <t>DNS resolves the domain to an IP via caches and then root, TLD and authoritative servers; the browser opens a TCP connection plus a TLS handshake for HTTPS. It sends an HTTP request, the LB routes it to an app server that returns a response, and the browser renders the page and fetches its sub-resources.</t>
        </is>
      </c>
      <c r="G74" s="13" t="inlineStr"/>
    </row>
    <row r="75">
      <c r="A75" s="13" t="n">
        <v>7</v>
      </c>
      <c r="B75" s="24" t="n">
        <v>46299</v>
      </c>
      <c r="C75" s="13" t="inlineStr">
        <is>
          <t>HLD</t>
        </is>
      </c>
      <c r="D75" s="18" t="inlineStr">
        <is>
          <t>Basic</t>
        </is>
      </c>
      <c r="E75" s="13" t="inlineStr">
        <is>
          <t>Rapid fire: vertical vs horizontal scaling, and which do you do first?</t>
        </is>
      </c>
      <c r="F75" s="13" t="inlineStr">
        <is>
          <t>Vertical is a bigger box: simple but capped and a single point of failure. Horizontal is more boxes: needs an LB and stateless servers but scales further and survives failures. Usually scale the stateless app tier horizontally early, scale the database vertically first, then add caches and read replicas before sharding.</t>
        </is>
      </c>
      <c r="G75" s="13" t="inlineStr"/>
    </row>
    <row r="76">
      <c r="A76" s="13" t="n">
        <v>7</v>
      </c>
      <c r="B76" s="24" t="n">
        <v>46299</v>
      </c>
      <c r="C76" s="13" t="inlineStr">
        <is>
          <t>HLD</t>
        </is>
      </c>
      <c r="D76" s="16" t="inlineStr">
        <is>
          <t>Intermediate</t>
        </is>
      </c>
      <c r="E76" s="13" t="inlineStr">
        <is>
          <t>Rapid fire: L4 vs L7 load balancer, and which algorithm for long-lived connections?</t>
        </is>
      </c>
      <c r="F76" s="13" t="inlineStr">
        <is>
          <t>L4 routes TCP/UDP connections by IP and port without reading content and is very fast; L7 reads HTTP so it can route by path, host, header or cookie and terminate TLS. For long-lived or uneven connections like websockets use least connections, since round robin assumes requests are equal.</t>
        </is>
      </c>
      <c r="G76" s="13" t="inlineStr"/>
    </row>
    <row r="77">
      <c r="A77" s="13" t="n">
        <v>7</v>
      </c>
      <c r="B77" s="24" t="n">
        <v>46299</v>
      </c>
      <c r="C77" s="13" t="inlineStr">
        <is>
          <t>HLD</t>
        </is>
      </c>
      <c r="D77" s="16" t="inlineStr">
        <is>
          <t>Intermediate</t>
        </is>
      </c>
      <c r="E77" s="13" t="inlineStr">
        <is>
          <t>Rapid fire: why stateless servers, and what replaces in-memory sessions?</t>
        </is>
      </c>
      <c r="F77" s="13" t="inlineStr">
        <is>
          <t>Stateless servers let any node serve any request, so you can scale, deploy and lose nodes freely. Sessions move to Redis or a DB with a TTL, or into a signed JWT on the client; sticky sessions are only a workaround because they cause uneven load and lost sessions.</t>
        </is>
      </c>
      <c r="G77" s="13" t="inlineStr"/>
    </row>
    <row r="78">
      <c r="A78" s="13" t="n">
        <v>7</v>
      </c>
      <c r="B78" s="24" t="n">
        <v>46299</v>
      </c>
      <c r="C78" s="13" t="inlineStr">
        <is>
          <t>HLD</t>
        </is>
      </c>
      <c r="D78" s="17" t="inlineStr">
        <is>
          <t>Advanced</t>
        </is>
      </c>
      <c r="E78" s="13" t="inlineStr">
        <is>
          <t>Rapid fire: which HTTP methods are idempotent and how do you make POST safe to retry?</t>
        </is>
      </c>
      <c r="F78" s="13" t="inlineStr">
        <is>
          <t>GET, PUT, DELETE and HEAD are idempotent; POST and PATCH are not by default. Make POST safe with a client-generated Idempotency-Key stored with a unique constraint and the saved response, so retries return the original result instead of repeating the side effect.</t>
        </is>
      </c>
      <c r="G78" s="13" t="inlineStr"/>
    </row>
    <row r="79">
      <c r="A79" s="13" t="n">
        <v>7</v>
      </c>
      <c r="B79" s="24" t="n">
        <v>46299</v>
      </c>
      <c r="C79" s="13" t="inlineStr">
        <is>
          <t>HLD</t>
        </is>
      </c>
      <c r="D79" s="17" t="inlineStr">
        <is>
          <t>Advanced</t>
        </is>
      </c>
      <c r="E79" s="13" t="inlineStr">
        <is>
          <t>Rapid fire: walk through a 3-tier app and name its main bottleneck at 10x traffic.</t>
        </is>
      </c>
      <c r="F79" s="13" t="inlineStr">
        <is>
          <t>Client to load balancer, to stateless app servers in an auto-scaling group, to a database with a standby. At 10x the database is the bottleneck, so add Redis caching, read replicas, connection pooling, a CDN for static content and a queue for async work, and shard only if writes still do not fit.</t>
        </is>
      </c>
      <c r="G79" s="13" t="inlineStr"/>
    </row>
    <row r="80">
      <c r="A80" s="13" t="n">
        <v>7</v>
      </c>
      <c r="B80" s="24" t="n">
        <v>46299</v>
      </c>
      <c r="C80" s="13" t="inlineStr">
        <is>
          <t>LLD</t>
        </is>
      </c>
      <c r="D80" s="18" t="inlineStr">
        <is>
          <t>Basic</t>
        </is>
      </c>
      <c r="E80" s="13" t="inlineStr">
        <is>
          <t>Rapid fire: name the four OOP pillars in one line each.</t>
        </is>
      </c>
      <c r="F80" s="13" t="inlineStr">
        <is>
          <t>- Encapsulation: hide state behind a controlled interface
- Abstraction: expose what an object does, not how
- Inheritance: reuse and specialise a base type (is-a)
- Polymorphism: one interface, many implementations chosen at runtime</t>
        </is>
      </c>
      <c r="G80" s="13" t="inlineStr"/>
    </row>
    <row r="81">
      <c r="A81" s="13" t="n">
        <v>7</v>
      </c>
      <c r="B81" s="24" t="n">
        <v>46299</v>
      </c>
      <c r="C81" s="13" t="inlineStr">
        <is>
          <t>LLD</t>
        </is>
      </c>
      <c r="D81" s="18" t="inlineStr">
        <is>
          <t>Basic</t>
        </is>
      </c>
      <c r="E81" s="13" t="inlineStr">
        <is>
          <t>Rapid fire: abstraction vs encapsulation.</t>
        </is>
      </c>
      <c r="F81" s="13" t="inlineStr">
        <is>
          <t>Abstraction is about design: exposing only the essential behaviour through interfaces or abstract classes so callers ignore details. Encapsulation is about implementation: bundling data with methods and restricting access (private fields, validated setters) to protect invariants. Abstraction hides complexity; encapsulation hides data.</t>
        </is>
      </c>
      <c r="G81" s="13" t="inlineStr"/>
    </row>
    <row r="82">
      <c r="A82" s="13" t="n">
        <v>7</v>
      </c>
      <c r="B82" s="24" t="n">
        <v>46299</v>
      </c>
      <c r="C82" s="13" t="inlineStr">
        <is>
          <t>LLD</t>
        </is>
      </c>
      <c r="D82" s="16" t="inlineStr">
        <is>
          <t>Intermediate</t>
        </is>
      </c>
      <c r="E82" s="13" t="inlineStr">
        <is>
          <t>Rapid fire: when to use composition vs inheritance?</t>
        </is>
      </c>
      <c r="F82" s="13" t="inlineStr">
        <is>
          <t>Use inheritance only for a true, stable is-a relationship where the subclass is substitutable for the base. Use composition (has-a, delegating to injected interfaces) for code reuse and behaviour that varies, since it is looser coupled, testable and changeable at runtime.</t>
        </is>
      </c>
      <c r="G82" s="13" t="inlineStr"/>
    </row>
    <row r="83">
      <c r="A83" s="13" t="n">
        <v>7</v>
      </c>
      <c r="B83" s="24" t="n">
        <v>46299</v>
      </c>
      <c r="C83" s="13" t="inlineStr">
        <is>
          <t>LLD</t>
        </is>
      </c>
      <c r="D83" s="16" t="inlineStr">
        <is>
          <t>Intermediate</t>
        </is>
      </c>
      <c r="E83" s="13" t="inlineStr">
        <is>
          <t>Rapid fire: SRP and OCP in one sentence each.</t>
        </is>
      </c>
      <c r="F83" s="13" t="inlineStr">
        <is>
          <t>SRP: a class should have exactly one reason to change, meaning one responsibility or actor. OCP: add new behaviour by writing new classes behind an abstraction instead of editing existing tested code.</t>
        </is>
      </c>
      <c r="G83" s="13" t="inlineStr"/>
    </row>
    <row r="84">
      <c r="A84" s="13" t="n">
        <v>7</v>
      </c>
      <c r="B84" s="24" t="n">
        <v>46299</v>
      </c>
      <c r="C84" s="13" t="inlineStr">
        <is>
          <t>LLD</t>
        </is>
      </c>
      <c r="D84" s="17" t="inlineStr">
        <is>
          <t>Advanced</t>
        </is>
      </c>
      <c r="E84" s="13" t="inlineStr">
        <is>
          <t>Rapid fire: LSP, ISP and DIP in one sentence each.</t>
        </is>
      </c>
      <c r="F84" s="13" t="inlineStr">
        <is>
          <t>LSP: a subclass must work anywhere its base type is expected without surprising the caller. ISP: prefer many small role interfaces over one fat interface so clients depend only on what they use. DIP: high-level policy and low-level details both depend on abstractions, wired together by dependency injection.</t>
        </is>
      </c>
      <c r="G84" s="13" t="inlineStr"/>
    </row>
    <row r="85">
      <c r="A85" s="13" t="n">
        <v>7</v>
      </c>
      <c r="B85" s="24" t="n">
        <v>46299</v>
      </c>
      <c r="C85" s="13" t="inlineStr">
        <is>
          <t>LLD</t>
        </is>
      </c>
      <c r="D85" s="17" t="inlineStr">
        <is>
          <t>Advanced</t>
        </is>
      </c>
      <c r="E85" s="13" t="inlineStr">
        <is>
          <t>Which SOLID principle does each of these smells violate: a switch on type that grows, NotImplementedException in an interface method, and new SqlConnection inside a service?</t>
        </is>
      </c>
      <c r="F85" s="13" t="inlineStr">
        <is>
          <t>- A growing switch on type violates Open/Closed (use polymorphism or a strategy map)
- NotImplementedException in an interface member violates Interface Segregation and often Liskov
- new SqlConnection inside a business service violates Dependency Inversion (inject an abstraction such as a repository)</t>
        </is>
      </c>
      <c r="G85" s="13" t="inlineStr"/>
    </row>
    <row r="86">
      <c r="A86" s="13" t="n">
        <v>8</v>
      </c>
      <c r="B86" s="24" t="n">
        <v>46300</v>
      </c>
      <c r="C86" s="13" t="inlineStr">
        <is>
          <t>HLD</t>
        </is>
      </c>
      <c r="D86" s="18" t="inlineStr">
        <is>
          <t>Basic</t>
        </is>
      </c>
      <c r="E86" s="13" t="inlineStr">
        <is>
          <t>What are the main differences between SQL and NoSQL databases?</t>
        </is>
      </c>
      <c r="F86" s="13" t="inlineStr">
        <is>
          <t>SQL databases use a fixed schema of tables, support joins and multi-row ACID transactions, and usually scale vertically or with read replicas. NoSQL databases have flexible or schema-less models (key-value, document, wide-column, graph), are designed to scale horizontally across nodes, and often trade strict consistency or joins for availability and throughput.</t>
        </is>
      </c>
      <c r="G86" s="13" t="inlineStr"/>
    </row>
    <row r="87">
      <c r="A87" s="13" t="n">
        <v>8</v>
      </c>
      <c r="B87" s="24" t="n">
        <v>46300</v>
      </c>
      <c r="C87" s="13" t="inlineStr">
        <is>
          <t>HLD</t>
        </is>
      </c>
      <c r="D87" s="18" t="inlineStr">
        <is>
          <t>Basic</t>
        </is>
      </c>
      <c r="E87" s="13" t="inlineStr">
        <is>
          <t>Name the four main types of NoSQL databases with an example each.</t>
        </is>
      </c>
      <c r="F87" s="13" t="inlineStr">
        <is>
          <t>- Key-value: Redis, DynamoDB (lookup by key, caching, sessions)
- Document: MongoDB, Cosmos DB (JSON documents, flexible product catalogs)
- Wide-column: Cassandra, HBase (huge write-heavy time series, event logs)
- Graph: Neo4j (relationships such as social networks and recommendations)</t>
        </is>
      </c>
      <c r="G87" s="13" t="inlineStr"/>
    </row>
    <row r="88">
      <c r="A88" s="13" t="n">
        <v>8</v>
      </c>
      <c r="B88" s="24" t="n">
        <v>46300</v>
      </c>
      <c r="C88" s="13" t="inlineStr">
        <is>
          <t>HLD</t>
        </is>
      </c>
      <c r="D88" s="16" t="inlineStr">
        <is>
          <t>Intermediate</t>
        </is>
      </c>
      <c r="E88" s="13" t="inlineStr">
        <is>
          <t>How do you decide between SQL and NoSQL for a new service?</t>
        </is>
      </c>
      <c r="F88" s="13" t="inlineStr">
        <is>
          <t>Start from access patterns and consistency needs. Choose SQL when data is relational, you need joins, ad hoc queries, strong consistency and multi-entity transactions (orders, payments, inventory). Choose NoSQL when access is mostly by key with known patterns, the schema changes often, or you need very high write throughput and horizontal scale (activity feeds, IoT, sessions). Many systems use both (polyglot persistence).</t>
        </is>
      </c>
      <c r="G88" s="13" t="inlineStr"/>
    </row>
    <row r="89">
      <c r="A89" s="13" t="n">
        <v>8</v>
      </c>
      <c r="B89" s="24" t="n">
        <v>46300</v>
      </c>
      <c r="C89" s="13" t="inlineStr">
        <is>
          <t>HLD</t>
        </is>
      </c>
      <c r="D89" s="16" t="inlineStr">
        <is>
          <t>Intermediate</t>
        </is>
      </c>
      <c r="E89" s="13" t="inlineStr">
        <is>
          <t>Why do NoSQL databases usually not support joins, and how do you model data without them?</t>
        </is>
      </c>
      <c r="F89" s="13" t="inlineStr">
        <is>
          <t>Joins across partitions spread over many machines would require expensive distributed coordination, so NoSQL stores keep each query on one partition. You model data around queries: denormalise and embed related data in one document or item, duplicate data where needed, and precompute views. The trade-off is more storage and more complex writes to keep duplicated data consistent.</t>
        </is>
      </c>
      <c r="G89" s="13" t="inlineStr"/>
    </row>
    <row r="90">
      <c r="A90" s="13" t="n">
        <v>8</v>
      </c>
      <c r="B90" s="24" t="n">
        <v>46300</v>
      </c>
      <c r="C90" s="13" t="inlineStr">
        <is>
          <t>HLD</t>
        </is>
      </c>
      <c r="D90" s="17" t="inlineStr">
        <is>
          <t>Advanced</t>
        </is>
      </c>
      <c r="E90" s="13" t="inlineStr">
        <is>
          <t>You need an e-commerce platform. Which parts go in SQL and which in NoSQL?</t>
        </is>
      </c>
      <c r="F90" s="13" t="inlineStr">
        <is>
          <t>Orders, payments and inventory go in SQL (PostgreSQL/SQL Server) because they need ACID transactions and strong consistency to avoid overselling or double charging. The product catalog with varied attributes fits a document store; shopping carts and sessions fit a key-value store like Redis or DynamoDB; search uses Elasticsearch; recommendations can use a graph store. Changes are propagated between stores with events (CDC or an outbox).</t>
        </is>
      </c>
      <c r="G90" s="13" t="inlineStr"/>
    </row>
    <row r="91">
      <c r="A91" s="13" t="n">
        <v>8</v>
      </c>
      <c r="B91" s="24" t="n">
        <v>46300</v>
      </c>
      <c r="C91" s="13" t="inlineStr">
        <is>
          <t>HLD</t>
        </is>
      </c>
      <c r="D91" s="17" t="inlineStr">
        <is>
          <t>Advanced</t>
        </is>
      </c>
      <c r="E91" s="13" t="inlineStr">
        <is>
          <t>Is it true that SQL databases cannot scale horizontally?</t>
        </is>
      </c>
      <c r="F91" s="13" t="inlineStr">
        <is>
          <t>No. SQL databases scale reads with replicas and can be sharded at the application level or via tools like Citus or Vitess. NewSQL systems (CockroachDB, Google Spanner, YugabyteDB) provide distributed SQL with ACID transactions across nodes using consensus. The real cost is complexity and latency of distributed transactions, which is why NoSQL stores relax those guarantees by default.</t>
        </is>
      </c>
      <c r="G91" s="13" t="inlineStr"/>
    </row>
    <row r="92">
      <c r="A92" s="13" t="n">
        <v>8</v>
      </c>
      <c r="B92" s="24" t="n">
        <v>46300</v>
      </c>
      <c r="C92" s="13" t="inlineStr">
        <is>
          <t>LLD</t>
        </is>
      </c>
      <c r="D92" s="18" t="inlineStr">
        <is>
          <t>Basic</t>
        </is>
      </c>
      <c r="E92" s="13" t="inlineStr">
        <is>
          <t>What is the Singleton pattern?</t>
        </is>
      </c>
      <c r="F92" s="13" t="inlineStr">
        <is>
          <t>Singleton ensures a class has only one instance and provides a global access point to it. It uses a private constructor and a static property that returns the single instance. Typical uses are configuration, logging or a shared cache, but it must be implemented thread-safely.</t>
        </is>
      </c>
      <c r="G92" s="13" t="inlineStr"/>
    </row>
    <row r="93">
      <c r="A93" s="13" t="n">
        <v>8</v>
      </c>
      <c r="B93" s="24" t="n">
        <v>46300</v>
      </c>
      <c r="C93" s="13" t="inlineStr">
        <is>
          <t>LLD</t>
        </is>
      </c>
      <c r="D93" s="18" t="inlineStr">
        <is>
          <t>Basic</t>
        </is>
      </c>
      <c r="E93" s="13" t="inlineStr">
        <is>
          <t>Why is a naive Singleton not thread-safe?</t>
        </is>
      </c>
      <c r="F93" s="13" t="inlineStr">
        <is>
          <t>A naive version checks if (_instance == null) then creates it. Two threads can both see null at the same time and both create instances, breaking the single-instance guarantee and possibly leaving one thread with a different object. Fixes are locking, double-checked locking, static initialisation or Lazy&lt;T&gt;.</t>
        </is>
      </c>
      <c r="G93" s="13" t="inlineStr"/>
    </row>
    <row r="94">
      <c r="A94" s="13" t="n">
        <v>8</v>
      </c>
      <c r="B94" s="24" t="n">
        <v>46300</v>
      </c>
      <c r="C94" s="13" t="inlineStr">
        <is>
          <t>LLD</t>
        </is>
      </c>
      <c r="D94" s="16" t="inlineStr">
        <is>
          <t>Intermediate</t>
        </is>
      </c>
      <c r="E94" s="13" t="inlineStr">
        <is>
          <t>Show the recommended thread-safe Singleton in C#.</t>
        </is>
      </c>
      <c r="F94" s="13" t="inlineStr">
        <is>
          <t>Lazy&lt;T&gt; is the simplest correct approach: it is thread-safe by default and creates the instance only on first access.
```csharp
public sealed class AppConfig {
    private static readonly Lazy&lt;AppConfig&gt; _instance =
        new(() =&gt; new AppConfig());
    public static AppConfig Instance =&gt; _instance.Value;
    private AppConfig() { /* load settings */ }
}
```
sealed prevents subclasses from creating extra instances.</t>
        </is>
      </c>
      <c r="G94" s="13" t="inlineStr"/>
    </row>
    <row r="95">
      <c r="A95" s="13" t="n">
        <v>8</v>
      </c>
      <c r="B95" s="24" t="n">
        <v>46300</v>
      </c>
      <c r="C95" s="13" t="inlineStr">
        <is>
          <t>LLD</t>
        </is>
      </c>
      <c r="D95" s="16" t="inlineStr">
        <is>
          <t>Intermediate</t>
        </is>
      </c>
      <c r="E95" s="13" t="inlineStr">
        <is>
          <t>Should you use a Singleton to hold a single database connection? What is better?</t>
        </is>
      </c>
      <c r="F95" s="13" t="inlineStr">
        <is>
          <t>No. A single shared DbConnection is not thread-safe, becomes a bottleneck, and breaks when the connection drops. ADO.NET already pools connections, so the right approach is to open a connection per unit of work and dispose it quickly, letting the pool reuse physical connections. In EF Core, register DbContext as scoped per request and use AddDbContextPool if needed; what is safe as a singleton is something like a connection factory or configuration.</t>
        </is>
      </c>
      <c r="G95" s="13" t="inlineStr"/>
    </row>
    <row r="96">
      <c r="A96" s="13" t="n">
        <v>8</v>
      </c>
      <c r="B96" s="24" t="n">
        <v>46300</v>
      </c>
      <c r="C96" s="13" t="inlineStr">
        <is>
          <t>LLD</t>
        </is>
      </c>
      <c r="D96" s="17" t="inlineStr">
        <is>
          <t>Advanced</t>
        </is>
      </c>
      <c r="E96" s="13" t="inlineStr">
        <is>
          <t>Why is Singleton often called an anti-pattern, and how does DI address it?</t>
        </is>
      </c>
      <c r="F96" s="13" t="inlineStr">
        <is>
          <t>Classic Singletons are global state: hidden dependencies, hard to mock in tests, tight coupling to the concrete class and possible issues with test isolation. With DI you register the class with AddSingleton, so the container guarantees one instance while consumers still receive an interface through the constructor, keeping them testable and explicit about dependencies.</t>
        </is>
      </c>
      <c r="G96" s="13" t="inlineStr"/>
    </row>
    <row r="97">
      <c r="A97" s="13" t="n">
        <v>8</v>
      </c>
      <c r="B97" s="24" t="n">
        <v>46300</v>
      </c>
      <c r="C97" s="13" t="inlineStr">
        <is>
          <t>LLD</t>
        </is>
      </c>
      <c r="D97" s="17" t="inlineStr">
        <is>
          <t>Advanced</t>
        </is>
      </c>
      <c r="E97" s="13" t="inlineStr">
        <is>
          <t>Explain double-checked locking and why volatile or Lazy&lt;T&gt; matters.</t>
        </is>
      </c>
      <c r="F97" s="13" t="inlineStr">
        <is>
          <t>Double-checked locking checks the instance before locking (fast path), then locks and checks again before creating it. Without a memory barrier, another thread could see a non-null reference to a partially constructed object due to reordering; marking the field volatile (or relying on the lock's barriers correctly) prevents this. In .NET, Lazy&lt;T&gt; or a static readonly field initialised by the CLR's type initialiser are simpler and already correct.</t>
        </is>
      </c>
      <c r="G97" s="13" t="inlineStr"/>
    </row>
    <row r="98">
      <c r="A98" s="13" t="n">
        <v>9</v>
      </c>
      <c r="B98" s="24" t="n">
        <v>46301</v>
      </c>
      <c r="C98" s="13" t="inlineStr">
        <is>
          <t>HLD</t>
        </is>
      </c>
      <c r="D98" s="18" t="inlineStr">
        <is>
          <t>Basic</t>
        </is>
      </c>
      <c r="E98" s="13" t="inlineStr">
        <is>
          <t>What is a database index?</t>
        </is>
      </c>
      <c r="F98" s="13" t="inlineStr">
        <is>
          <t>An index is a separate data structure, usually a B-tree, that keeps column values sorted with pointers to rows, so the database can find matches in O(log n) instead of scanning the whole table. It speeds up reads, filters, joins and ORDER BY, but costs storage and slows inserts, updates and deletes because the index must be updated too.</t>
        </is>
      </c>
      <c r="G98" s="13" t="inlineStr"/>
    </row>
    <row r="99">
      <c r="A99" s="13" t="n">
        <v>9</v>
      </c>
      <c r="B99" s="24" t="n">
        <v>46301</v>
      </c>
      <c r="C99" s="13" t="inlineStr">
        <is>
          <t>HLD</t>
        </is>
      </c>
      <c r="D99" s="18" t="inlineStr">
        <is>
          <t>Basic</t>
        </is>
      </c>
      <c r="E99" s="13" t="inlineStr">
        <is>
          <t>What is the difference between a clustered and a non-clustered index?</t>
        </is>
      </c>
      <c r="F99" s="13" t="inlineStr">
        <is>
          <t>A clustered index defines the physical order of rows: the table data itself is stored in the B-tree leaf pages, so there is only one per table (by default the primary key in SQL Server). A non-clustered index is a separate structure whose leaves hold the key and a pointer (row locator or clustered key) back to the row, and a table can have many of them.</t>
        </is>
      </c>
      <c r="G99" s="13" t="inlineStr"/>
    </row>
    <row r="100">
      <c r="A100" s="13" t="n">
        <v>9</v>
      </c>
      <c r="B100" s="24" t="n">
        <v>46301</v>
      </c>
      <c r="C100" s="13" t="inlineStr">
        <is>
          <t>HLD</t>
        </is>
      </c>
      <c r="D100" s="16" t="inlineStr">
        <is>
          <t>Intermediate</t>
        </is>
      </c>
      <c r="E100" s="13" t="inlineStr">
        <is>
          <t>Why do B-trees suit databases better than binary trees or hash tables?</t>
        </is>
      </c>
      <c r="F100" s="13" t="inlineStr">
        <is>
          <t>B-trees have a high fan-out: each node is a disk page with hundreds of keys, so the tree is only 3-4 levels deep even for millions of rows, meaning few disk reads per lookup. Leaves are linked and sorted, so they handle range queries, ORDER BY and prefix matches. Hash indexes are great for exact equality but cannot do ranges or sorting.</t>
        </is>
      </c>
      <c r="G100" s="13" t="inlineStr"/>
    </row>
    <row r="101">
      <c r="A101" s="13" t="n">
        <v>9</v>
      </c>
      <c r="B101" s="24" t="n">
        <v>46301</v>
      </c>
      <c r="C101" s="13" t="inlineStr">
        <is>
          <t>HLD</t>
        </is>
      </c>
      <c r="D101" s="16" t="inlineStr">
        <is>
          <t>Intermediate</t>
        </is>
      </c>
      <c r="E101" s="13" t="inlineStr">
        <is>
          <t>How does column order matter in a composite index?</t>
        </is>
      </c>
      <c r="F101" s="13" t="inlineStr">
        <is>
          <t>A composite index on (A, B, C) is sorted by A, then B, then C, so it can serve queries filtering on A, A+B or A+B+C (leftmost prefix rule), but not B or C alone. Put equality-filtered columns first and range or sort columns after, since a range on a column stops the index from being used for seeking on later columns. For example, (customer_id, created_at) serves 'orders of customer X in the last month sorted by date'.</t>
        </is>
      </c>
      <c r="G101" s="13" t="inlineStr"/>
    </row>
    <row r="102">
      <c r="A102" s="13" t="n">
        <v>9</v>
      </c>
      <c r="B102" s="24" t="n">
        <v>46301</v>
      </c>
      <c r="C102" s="13" t="inlineStr">
        <is>
          <t>HLD</t>
        </is>
      </c>
      <c r="D102" s="17" t="inlineStr">
        <is>
          <t>Advanced</t>
        </is>
      </c>
      <c r="E102" s="13" t="inlineStr">
        <is>
          <t>A query that used to be fast is now slow. How do you investigate?</t>
        </is>
      </c>
      <c r="F102" s="13" t="inlineStr">
        <is>
          <t>Get the actual execution plan (EXPLAIN ANALYZE in Postgres, actual plan in SQL Server) and look for full table or index scans, key lookups, bad row estimates and sorts spilling to disk. Common causes: missing or unused index, a function or implicit type conversion on the column (non-sargable predicate), stale statistics, parameter sniffing, or data growth. Fix with the right index (possibly covering with INCLUDE), rewriting the predicate, updating statistics, and check locking/blocking too.</t>
        </is>
      </c>
      <c r="G102" s="13" t="inlineStr"/>
    </row>
    <row r="103">
      <c r="A103" s="13" t="n">
        <v>9</v>
      </c>
      <c r="B103" s="24" t="n">
        <v>46301</v>
      </c>
      <c r="C103" s="13" t="inlineStr">
        <is>
          <t>HLD</t>
        </is>
      </c>
      <c r="D103" s="17" t="inlineStr">
        <is>
          <t>Advanced</t>
        </is>
      </c>
      <c r="E103" s="13" t="inlineStr">
        <is>
          <t>What is a covering index and when is an index not used even though it exists?</t>
        </is>
      </c>
      <c r="F103" s="13" t="inlineStr">
        <is>
          <t>A covering index contains all columns a query needs (key plus INCLUDE columns), so the database answers from the index alone without looking up the base table. An existing index may be ignored when: the predicate wraps the column in a function (WHERE YEAR(date)=2024), there is an implicit type conversion, LIKE starts with a wildcard, the query is not on the leftmost prefix, or the filter matches so many rows that the optimizer decides a full scan is cheaper (low selectivity).</t>
        </is>
      </c>
      <c r="G103" s="13" t="inlineStr"/>
    </row>
    <row r="104">
      <c r="A104" s="13" t="n">
        <v>9</v>
      </c>
      <c r="B104" s="24" t="n">
        <v>46301</v>
      </c>
      <c r="C104" s="13" t="inlineStr">
        <is>
          <t>LLD</t>
        </is>
      </c>
      <c r="D104" s="18" t="inlineStr">
        <is>
          <t>Basic</t>
        </is>
      </c>
      <c r="E104" s="13" t="inlineStr">
        <is>
          <t>What is the Factory pattern?</t>
        </is>
      </c>
      <c r="F104" s="13" t="inlineStr">
        <is>
          <t>A Factory encapsulates object creation so callers ask for an object by type or parameter without using new on concrete classes. It centralises creation logic, returns an interface, and lets you add new implementations without changing the calling code.</t>
        </is>
      </c>
      <c r="G104" s="13" t="inlineStr"/>
    </row>
    <row r="105">
      <c r="A105" s="13" t="n">
        <v>9</v>
      </c>
      <c r="B105" s="24" t="n">
        <v>46301</v>
      </c>
      <c r="C105" s="13" t="inlineStr">
        <is>
          <t>LLD</t>
        </is>
      </c>
      <c r="D105" s="18" t="inlineStr">
        <is>
          <t>Basic</t>
        </is>
      </c>
      <c r="E105" s="13" t="inlineStr">
        <is>
          <t>What is the difference between Simple Factory, Factory Method and Abstract Factory?</t>
        </is>
      </c>
      <c r="F105" s="13" t="inlineStr">
        <is>
          <t>- Simple Factory: one class with a method that returns different concrete types based on input (not a GoF pattern)
- Factory Method: a base class declares an abstract creation method and subclasses decide which concrete product to create
- Abstract Factory: an interface that creates families of related objects (for example UI widgets for Windows vs Mac) that must be used together</t>
        </is>
      </c>
      <c r="G105" s="13" t="inlineStr"/>
    </row>
    <row r="106">
      <c r="A106" s="13" t="n">
        <v>9</v>
      </c>
      <c r="B106" s="24" t="n">
        <v>46301</v>
      </c>
      <c r="C106" s="13" t="inlineStr">
        <is>
          <t>LLD</t>
        </is>
      </c>
      <c r="D106" s="16" t="inlineStr">
        <is>
          <t>Intermediate</t>
        </is>
      </c>
      <c r="E106" s="13" t="inlineStr">
        <is>
          <t>Implement a payment processor factory in C# without a big switch statement.</t>
        </is>
      </c>
      <c r="F106" s="13" t="inlineStr">
        <is>
          <t>Register every processor in DI and let the factory pick by key, so new processors only need a new class and registration.
```csharp
public interface IPaymentProcessor {
    string Method { get; }
    Task PayAsync(decimal amount);
}
public class PaymentProcessorFactory(IEnumerable&lt;IPaymentProcessor&gt; processors) {
    private readonly Dictionary&lt;string, IPaymentProcessor&gt; _map =
        processors.ToDictionary(p =&gt; p.Method, StringComparer.OrdinalIgnoreCase);
    public IPaymentProcessor Get(string method) =&gt;
        _map.TryGetValue(method, out var p) ? p
            : throw new NotSupportedException(method);
}
```</t>
        </is>
      </c>
      <c r="G106" s="13" t="inlineStr"/>
    </row>
    <row r="107">
      <c r="A107" s="13" t="n">
        <v>9</v>
      </c>
      <c r="B107" s="24" t="n">
        <v>46301</v>
      </c>
      <c r="C107" s="13" t="inlineStr">
        <is>
          <t>LLD</t>
        </is>
      </c>
      <c r="D107" s="16" t="inlineStr">
        <is>
          <t>Intermediate</t>
        </is>
      </c>
      <c r="E107" s="13" t="inlineStr">
        <is>
          <t>When would you use a factory instead of just injecting a dependency?</t>
        </is>
      </c>
      <c r="F107" s="13" t="inlineStr">
        <is>
          <t>Use a factory when the concrete type is only known at runtime (based on user input, tenant or config per request), when creation needs runtime parameters that DI cannot supply, or when you need to create many short-lived instances. If the dependency is fixed for the application, plain constructor injection is simpler.</t>
        </is>
      </c>
      <c r="G107" s="13" t="inlineStr"/>
    </row>
    <row r="108">
      <c r="A108" s="13" t="n">
        <v>9</v>
      </c>
      <c r="B108" s="24" t="n">
        <v>46301</v>
      </c>
      <c r="C108" s="13" t="inlineStr">
        <is>
          <t>LLD</t>
        </is>
      </c>
      <c r="D108" s="17" t="inlineStr">
        <is>
          <t>Advanced</t>
        </is>
      </c>
      <c r="E108" s="13" t="inlineStr">
        <is>
          <t>How does .NET use factories internally? Give examples.</t>
        </is>
      </c>
      <c r="F108" s="13" t="inlineStr">
        <is>
          <t>- IHttpClientFactory creates configured HttpClient instances and manages handler lifetimes to avoid socket exhaustion and stale DNS
- ILoggerFactory creates ILogger instances per category
- DbProviderFactory creates provider-specific connections and commands
- DI factory registrations like services.AddScoped&lt;IFoo&gt;(sp =&gt; new Foo(...)) are factory delegates</t>
        </is>
      </c>
      <c r="G108" s="13" t="inlineStr"/>
    </row>
    <row r="109">
      <c r="A109" s="13" t="n">
        <v>9</v>
      </c>
      <c r="B109" s="24" t="n">
        <v>46301</v>
      </c>
      <c r="C109" s="13" t="inlineStr">
        <is>
          <t>LLD</t>
        </is>
      </c>
      <c r="D109" s="17" t="inlineStr">
        <is>
          <t>Advanced</t>
        </is>
      </c>
      <c r="E109" s="13" t="inlineStr">
        <is>
          <t>How does the Factory pattern support the Open/Closed and Dependency Inversion principles?</t>
        </is>
      </c>
      <c r="F109" s="13" t="inlineStr">
        <is>
          <t>Callers depend only on the product interface and the factory, never on concrete classes, which is dependency inversion. With a registration-based factory (dictionary or DI enumeration) adding a new product type needs a new class and registration but no change to existing callers or the factory logic, satisfying OCP. A switch-based factory still violates OCP, though it at least localises the change to one place.</t>
        </is>
      </c>
      <c r="G109" s="13" t="inlineStr"/>
    </row>
    <row r="110">
      <c r="A110" s="13" t="n">
        <v>10</v>
      </c>
      <c r="B110" s="24" t="n">
        <v>46302</v>
      </c>
      <c r="C110" s="13" t="inlineStr">
        <is>
          <t>HLD</t>
        </is>
      </c>
      <c r="D110" s="18" t="inlineStr">
        <is>
          <t>Basic</t>
        </is>
      </c>
      <c r="E110" s="13" t="inlineStr">
        <is>
          <t>What is primary-replica replication?</t>
        </is>
      </c>
      <c r="F110" s="13" t="inlineStr">
        <is>
          <t>One primary node accepts all writes and streams its changes (via a write-ahead or binary log) to one or more replicas. Replicas apply the changes and serve read queries. This scales reads, improves availability because a replica can be promoted if the primary fails, and lets you run backups or analytics on a replica.</t>
        </is>
      </c>
      <c r="G110" s="13" t="inlineStr"/>
    </row>
    <row r="111">
      <c r="A111" s="13" t="n">
        <v>10</v>
      </c>
      <c r="B111" s="24" t="n">
        <v>46302</v>
      </c>
      <c r="C111" s="13" t="inlineStr">
        <is>
          <t>HLD</t>
        </is>
      </c>
      <c r="D111" s="18" t="inlineStr">
        <is>
          <t>Basic</t>
        </is>
      </c>
      <c r="E111" s="13" t="inlineStr">
        <is>
          <t>What is the difference between synchronous and asynchronous replication?</t>
        </is>
      </c>
      <c r="F111" s="13" t="inlineStr">
        <is>
          <t>In synchronous replication the primary waits for a replica to confirm before acknowledging the write, so no committed data is lost on failover, but writes are slower and stall if the replica is down. In asynchronous replication the primary acknowledges immediately and replicas catch up later, which is fast but can lose recent writes on failover and causes replication lag. Semi-synchronous waits for at least one replica as a middle ground.</t>
        </is>
      </c>
      <c r="G111" s="13" t="inlineStr"/>
    </row>
    <row r="112">
      <c r="A112" s="13" t="n">
        <v>10</v>
      </c>
      <c r="B112" s="24" t="n">
        <v>46302</v>
      </c>
      <c r="C112" s="13" t="inlineStr">
        <is>
          <t>HLD</t>
        </is>
      </c>
      <c r="D112" s="16" t="inlineStr">
        <is>
          <t>Intermediate</t>
        </is>
      </c>
      <c r="E112" s="13" t="inlineStr">
        <is>
          <t>What is replication lag and what problems does it cause?</t>
        </is>
      </c>
      <c r="F112" s="13" t="inlineStr">
        <is>
          <t>Replication lag is the delay between a write on the primary and its appearance on a replica, from milliseconds to seconds under load. Users may not see their own update right after saving (read-your-own-writes violation), see data go back in time when successive reads hit different replicas (monotonic reads violation), or see a reply before the comment it answers. It must be monitored and considered when routing reads.</t>
        </is>
      </c>
      <c r="G112" s="13" t="inlineStr"/>
    </row>
    <row r="113">
      <c r="A113" s="13" t="n">
        <v>10</v>
      </c>
      <c r="B113" s="24" t="n">
        <v>46302</v>
      </c>
      <c r="C113" s="13" t="inlineStr">
        <is>
          <t>HLD</t>
        </is>
      </c>
      <c r="D113" s="16" t="inlineStr">
        <is>
          <t>Intermediate</t>
        </is>
      </c>
      <c r="E113" s="13" t="inlineStr">
        <is>
          <t>How do you guarantee read-your-own-writes with read replicas?</t>
        </is>
      </c>
      <c r="F113" s="13" t="inlineStr">
        <is>
          <t>- Read from the primary for a short time after a user writes (for example 5-10 seconds, tracked in the session)
- Always read a user's own profile or data from the primary, others from replicas
- Track the write's log position (LSN) and only read from a replica that has caught up to it
- Pin a user's session to one replica for monotonic reads</t>
        </is>
      </c>
      <c r="G113" s="13" t="inlineStr"/>
    </row>
    <row r="114">
      <c r="A114" s="13" t="n">
        <v>10</v>
      </c>
      <c r="B114" s="24" t="n">
        <v>46302</v>
      </c>
      <c r="C114" s="13" t="inlineStr">
        <is>
          <t>HLD</t>
        </is>
      </c>
      <c r="D114" s="17" t="inlineStr">
        <is>
          <t>Advanced</t>
        </is>
      </c>
      <c r="E114" s="13" t="inlineStr">
        <is>
          <t>How does failover work, and what is split brain?</t>
        </is>
      </c>
      <c r="F114" s="13" t="inlineStr">
        <is>
          <t>When the primary fails, a monitor or consensus system detects it (missed heartbeats), picks the most up-to-date replica, promotes it and redirects clients via DNS, a virtual IP or a proxy. Split brain happens when the old primary was only unreachable, not dead, and keeps accepting writes, so two primaries diverge and data conflicts. Prevent it with quorum-based election, fencing (STONITH, revoking the old primary's access) and epoch or term numbers so stale leaders are rejected.</t>
        </is>
      </c>
      <c r="G114" s="13" t="inlineStr"/>
    </row>
    <row r="115">
      <c r="A115" s="13" t="n">
        <v>10</v>
      </c>
      <c r="B115" s="24" t="n">
        <v>46302</v>
      </c>
      <c r="C115" s="13" t="inlineStr">
        <is>
          <t>HLD</t>
        </is>
      </c>
      <c r="D115" s="17" t="inlineStr">
        <is>
          <t>Advanced</t>
        </is>
      </c>
      <c r="E115" s="13" t="inlineStr">
        <is>
          <t>Compare single-leader, multi-leader and leaderless replication.</t>
        </is>
      </c>
      <c r="F115" s="13" t="inlineStr">
        <is>
          <t>Single-leader: all writes go to one primary; simple and consistent, but write throughput and failover are limits. Multi-leader: several nodes accept writes (often one per region), good for multi-region latency and offline clients, but needs conflict resolution (last-write-wins, merging, CRDTs). Leaderless (Dynamo, Cassandra): clients write to and read from several replicas using quorums (W + R &gt; N), with read repair and hinted handoff, giving high availability with tunable consistency.</t>
        </is>
      </c>
      <c r="G115" s="13" t="inlineStr"/>
    </row>
    <row r="116">
      <c r="A116" s="13" t="n">
        <v>10</v>
      </c>
      <c r="B116" s="24" t="n">
        <v>46302</v>
      </c>
      <c r="C116" s="13" t="inlineStr">
        <is>
          <t>LLD</t>
        </is>
      </c>
      <c r="D116" s="18" t="inlineStr">
        <is>
          <t>Basic</t>
        </is>
      </c>
      <c r="E116" s="13" t="inlineStr">
        <is>
          <t>What is the Builder pattern?</t>
        </is>
      </c>
      <c r="F116" s="13" t="inlineStr">
        <is>
          <t>Builder separates the construction of a complex object from its representation, letting you build it step by step through readable method calls and a final Build(). It avoids telescoping constructors with many optional parameters and can validate the object before returning it.</t>
        </is>
      </c>
      <c r="G116" s="13" t="inlineStr"/>
    </row>
    <row r="117">
      <c r="A117" s="13" t="n">
        <v>10</v>
      </c>
      <c r="B117" s="24" t="n">
        <v>46302</v>
      </c>
      <c r="C117" s="13" t="inlineStr">
        <is>
          <t>LLD</t>
        </is>
      </c>
      <c r="D117" s="18" t="inlineStr">
        <is>
          <t>Basic</t>
        </is>
      </c>
      <c r="E117" s="13" t="inlineStr">
        <is>
          <t>What problem does a telescoping constructor create and how does Builder fix it?</t>
        </is>
      </c>
      <c r="F117" s="13" t="inlineStr">
        <is>
          <t>When a class has many optional parameters you end up with many overloaded constructors or one with ten parameters, where it is easy to swap two arguments of the same type and hard to read. A Builder names each step (WithTimeout, WithRetries), so calls are self-documenting, optional values have defaults and invalid combinations are checked in one place.</t>
        </is>
      </c>
      <c r="G117" s="13" t="inlineStr"/>
    </row>
    <row r="118">
      <c r="A118" s="13" t="n">
        <v>10</v>
      </c>
      <c r="B118" s="24" t="n">
        <v>46302</v>
      </c>
      <c r="C118" s="13" t="inlineStr">
        <is>
          <t>LLD</t>
        </is>
      </c>
      <c r="D118" s="16" t="inlineStr">
        <is>
          <t>Intermediate</t>
        </is>
      </c>
      <c r="E118" s="13" t="inlineStr">
        <is>
          <t>Implement a fluent builder for an HttpRequest-like object.</t>
        </is>
      </c>
      <c r="F118" s="13" t="inlineStr">
        <is>
          <t>Each method sets a value and returns the builder so calls can be chained; Build validates and creates the immutable object.
```csharp
public class RequestBuilder {
    private string _url = ""; private string _method = "GET";
    private readonly Dictionary&lt;string, string&gt; _headers = new();
    public RequestBuilder Url(string url) { _url = url; return this; }
    public RequestBuilder Method(string m) { _method = m; return this; }
    public RequestBuilder Header(string k, string v) { _headers[k] = v; return this; }
    public Request Build() =&gt; string.IsNullOrEmpty(_url)
        ? throw new InvalidOperationException("Url required")
        : new Request(_url, _method, _headers);
}
```</t>
        </is>
      </c>
      <c r="G118" s="13" t="inlineStr"/>
    </row>
    <row r="119">
      <c r="A119" s="13" t="n">
        <v>10</v>
      </c>
      <c r="B119" s="24" t="n">
        <v>46302</v>
      </c>
      <c r="C119" s="13" t="inlineStr">
        <is>
          <t>LLD</t>
        </is>
      </c>
      <c r="D119" s="16" t="inlineStr">
        <is>
          <t>Intermediate</t>
        </is>
      </c>
      <c r="E119" s="13" t="inlineStr">
        <is>
          <t>Where do you see the Builder pattern in .NET?</t>
        </is>
      </c>
      <c r="F119" s="13" t="inlineStr">
        <is>
          <t>- StringBuilder builds a string efficiently in steps
- WebApplication.CreateBuilder and IHostBuilder configure services and the app before Build()
- EF Core's ModelBuilder and fluent entity configuration
- ConfigurationBuilder, UriBuilder and DbConnectionStringBuilder</t>
        </is>
      </c>
      <c r="G119" s="13" t="inlineStr"/>
    </row>
    <row r="120">
      <c r="A120" s="13" t="n">
        <v>10</v>
      </c>
      <c r="B120" s="24" t="n">
        <v>46302</v>
      </c>
      <c r="C120" s="13" t="inlineStr">
        <is>
          <t>LLD</t>
        </is>
      </c>
      <c r="D120" s="17" t="inlineStr">
        <is>
          <t>Advanced</t>
        </is>
      </c>
      <c r="E120" s="13" t="inlineStr">
        <is>
          <t>How does Builder compare with object initializers and C# records with required/init properties?</t>
        </is>
      </c>
      <c r="F120" s="13" t="inlineStr">
        <is>
          <t>Object initializers with init and required properties cover many simple cases: named, readable and immutable after construction with compiler-enforced required members. A Builder is still better when construction involves validation across fields, conditional or multi-step logic, building nested objects or collections, or when you want to reuse a partially configured builder for several objects (for example test data builders).</t>
        </is>
      </c>
      <c r="G120" s="13" t="inlineStr"/>
    </row>
    <row r="121">
      <c r="A121" s="13" t="n">
        <v>10</v>
      </c>
      <c r="B121" s="24" t="n">
        <v>46302</v>
      </c>
      <c r="C121" s="13" t="inlineStr">
        <is>
          <t>LLD</t>
        </is>
      </c>
      <c r="D121" s="17" t="inlineStr">
        <is>
          <t>Advanced</t>
        </is>
      </c>
      <c r="E121" s="13" t="inlineStr">
        <is>
          <t>What is a Test Data Builder and why is it useful in unit tests?</t>
        </is>
      </c>
      <c r="F121" s="13" t="inlineStr">
        <is>
          <t>A Test Data Builder creates domain objects with sensible valid defaults, and each test overrides only the fields it cares about (new OrderBuilder().WithStatus(Cancelled).Build()). It keeps tests short and focused on what matters, and when the constructor or required fields change you update the builder once instead of hundreds of tests.</t>
        </is>
      </c>
      <c r="G121" s="13" t="inlineStr"/>
    </row>
    <row r="122">
      <c r="A122" s="13" t="n">
        <v>11</v>
      </c>
      <c r="B122" s="24" t="n">
        <v>46303</v>
      </c>
      <c r="C122" s="13" t="inlineStr">
        <is>
          <t>HLD</t>
        </is>
      </c>
      <c r="D122" s="18" t="inlineStr">
        <is>
          <t>Basic</t>
        </is>
      </c>
      <c r="E122" s="13" t="inlineStr">
        <is>
          <t>What is sharding and why is it needed?</t>
        </is>
      </c>
      <c r="F122" s="13" t="inlineStr">
        <is>
          <t>Sharding (horizontal partitioning) splits a table's rows across multiple database nodes, each holding a subset based on a shard key. It is needed when writes or data volume exceed what a single primary can handle, even after vertical scaling, caching and read replicas. Each shard handles only its share of reads, writes and storage.</t>
        </is>
      </c>
      <c r="G122" s="13" t="inlineStr"/>
    </row>
    <row r="123">
      <c r="A123" s="13" t="n">
        <v>11</v>
      </c>
      <c r="B123" s="24" t="n">
        <v>46303</v>
      </c>
      <c r="C123" s="13" t="inlineStr">
        <is>
          <t>HLD</t>
        </is>
      </c>
      <c r="D123" s="18" t="inlineStr">
        <is>
          <t>Basic</t>
        </is>
      </c>
      <c r="E123" s="13" t="inlineStr">
        <is>
          <t>What is the difference between partitioning and sharding?</t>
        </is>
      </c>
      <c r="F123" s="13" t="inlineStr">
        <is>
          <t>Partitioning splits a table into pieces; it can be within a single database server (table partitioning by date range, for example) to make queries and maintenance faster. Sharding is partitioning across multiple servers so load and storage are distributed. Vertical partitioning, splitting columns or tables by feature, is a different technique from horizontal row-based sharding.</t>
        </is>
      </c>
      <c r="G123" s="13" t="inlineStr"/>
    </row>
    <row r="124">
      <c r="A124" s="13" t="n">
        <v>11</v>
      </c>
      <c r="B124" s="24" t="n">
        <v>46303</v>
      </c>
      <c r="C124" s="13" t="inlineStr">
        <is>
          <t>HLD</t>
        </is>
      </c>
      <c r="D124" s="16" t="inlineStr">
        <is>
          <t>Intermediate</t>
        </is>
      </c>
      <c r="E124" s="13" t="inlineStr">
        <is>
          <t>Compare range-based, hash-based and directory-based sharding.</t>
        </is>
      </c>
      <c r="F124" s="13" t="inlineStr">
        <is>
          <t>- Range: rows split by key ranges (A-M, N-Z or by date); range queries are efficient but hot spots are likely if data is skewed or time-ordered
- Hash: hash(key) mod N or consistent hashing; spreads load evenly but range queries hit every shard
- Directory: a lookup service maps keys to shards; flexible for rebalancing and moving tenants, but the directory must be fast and highly available</t>
        </is>
      </c>
      <c r="G124" s="13" t="inlineStr"/>
    </row>
    <row r="125">
      <c r="A125" s="13" t="n">
        <v>11</v>
      </c>
      <c r="B125" s="24" t="n">
        <v>46303</v>
      </c>
      <c r="C125" s="13" t="inlineStr">
        <is>
          <t>HLD</t>
        </is>
      </c>
      <c r="D125" s="16" t="inlineStr">
        <is>
          <t>Intermediate</t>
        </is>
      </c>
      <c r="E125" s="13" t="inlineStr">
        <is>
          <t>How do you choose a good shard key?</t>
        </is>
      </c>
      <c r="F125" s="13" t="inlineStr">
        <is>
          <t>Choose a key with high cardinality that spreads data and traffic evenly and that most queries include, so they hit one shard. For example user_id or tenant_id for a SaaS app keeps a user's data together. Avoid low-cardinality keys (country, status), monotonically increasing keys (timestamps, auto-increment IDs) that send all new writes to one shard, and keys that force frequent cross-shard transactions.</t>
        </is>
      </c>
      <c r="G125" s="13" t="inlineStr"/>
    </row>
    <row r="126">
      <c r="A126" s="13" t="n">
        <v>11</v>
      </c>
      <c r="B126" s="24" t="n">
        <v>46303</v>
      </c>
      <c r="C126" s="13" t="inlineStr">
        <is>
          <t>HLD</t>
        </is>
      </c>
      <c r="D126" s="17" t="inlineStr">
        <is>
          <t>Advanced</t>
        </is>
      </c>
      <c r="E126" s="13" t="inlineStr">
        <is>
          <t>What causes hot spots and how do you fix them?</t>
        </is>
      </c>
      <c r="F126" s="13" t="inlineStr">
        <is>
          <t>Hot spots come from celebrity keys (one user or product with huge traffic), time-ordered keys where all current writes go to the latest range, or skewed data distribution. Fixes: hash the key instead of range-partitioning, add a random suffix or salt to hot keys to spread them (reads then fan out), split hot shards, cache hot reads, and use write buffering or counters aggregated in memory for extremely hot items.</t>
        </is>
      </c>
      <c r="G126" s="13" t="inlineStr"/>
    </row>
    <row r="127">
      <c r="A127" s="13" t="n">
        <v>11</v>
      </c>
      <c r="B127" s="24" t="n">
        <v>46303</v>
      </c>
      <c r="C127" s="13" t="inlineStr">
        <is>
          <t>HLD</t>
        </is>
      </c>
      <c r="D127" s="17" t="inlineStr">
        <is>
          <t>Advanced</t>
        </is>
      </c>
      <c r="E127" s="13" t="inlineStr">
        <is>
          <t>What are the real costs of sharding and how do you handle cross-shard queries and rebalancing?</t>
        </is>
      </c>
      <c r="F127" s="13" t="inlineStr">
        <is>
          <t>Cross-shard queries need scatter-gather, which is slower and complicates pagination, sorting and aggregations; you mitigate with denormalised or secondary indexes, a separate search/analytics store, or choosing keys to keep queries local. Cross-shard transactions need sagas or two-phase commit. Rebalancing is costly with hash mod N, so use consistent hashing or many fixed logical partitions mapped to fewer physical nodes, moving partitions in the background. Unique IDs need a global scheme like Snowflake IDs or UUIDs.</t>
        </is>
      </c>
      <c r="G127" s="13" t="inlineStr"/>
    </row>
    <row r="128">
      <c r="A128" s="13" t="n">
        <v>11</v>
      </c>
      <c r="B128" s="24" t="n">
        <v>46303</v>
      </c>
      <c r="C128" s="13" t="inlineStr">
        <is>
          <t>LLD</t>
        </is>
      </c>
      <c r="D128" s="18" t="inlineStr">
        <is>
          <t>Basic</t>
        </is>
      </c>
      <c r="E128" s="13" t="inlineStr">
        <is>
          <t>What is the Strategy pattern?</t>
        </is>
      </c>
      <c r="F128" s="13" t="inlineStr">
        <is>
          <t>Strategy defines a family of algorithms, puts each in its own class behind a common interface, and makes them interchangeable at runtime. The context class holds a reference to the strategy interface and delegates to it, so it does not need if/else branches for each algorithm.</t>
        </is>
      </c>
      <c r="G128" s="13" t="inlineStr"/>
    </row>
    <row r="129">
      <c r="A129" s="13" t="n">
        <v>11</v>
      </c>
      <c r="B129" s="24" t="n">
        <v>46303</v>
      </c>
      <c r="C129" s="13" t="inlineStr">
        <is>
          <t>LLD</t>
        </is>
      </c>
      <c r="D129" s="18" t="inlineStr">
        <is>
          <t>Basic</t>
        </is>
      </c>
      <c r="E129" s="13" t="inlineStr">
        <is>
          <t>When should you use the Strategy pattern?</t>
        </is>
      </c>
      <c r="F129" s="13" t="inlineStr">
        <is>
          <t>Use it when you have several ways to perform the same task and want to choose between them at runtime or by configuration: pricing and discount rules, payment methods, sorting, compression, retry policies or shard-key routing. It is a strong signal when a method has a growing switch on a type or mode.</t>
        </is>
      </c>
      <c r="G129" s="13" t="inlineStr"/>
    </row>
    <row r="130">
      <c r="A130" s="13" t="n">
        <v>11</v>
      </c>
      <c r="B130" s="24" t="n">
        <v>46303</v>
      </c>
      <c r="C130" s="13" t="inlineStr">
        <is>
          <t>LLD</t>
        </is>
      </c>
      <c r="D130" s="16" t="inlineStr">
        <is>
          <t>Intermediate</t>
        </is>
      </c>
      <c r="E130" s="13" t="inlineStr">
        <is>
          <t>Design an IShardKeyStrategy with hash and range implementations.</t>
        </is>
      </c>
      <c r="F130" s="13" t="inlineStr">
        <is>
          <t>The interface maps a key to a shard index; the router uses whichever strategy is configured.
```csharp
public interface IShardKeyStrategy {
    int GetShard(string key, int shardCount);
}
public class HashShardStrategy : IShardKeyStrategy {
    public int GetShard(string key, int shardCount) {
        uint h = 2166136261;
        foreach (char c in key) h = (h ^ c) * 16777619;
        return (int)(h % (uint)shardCount);
    }
}
```
A RangeShardStrategy would look up the key in a sorted list of range boundaries. Note string.GetHashCode is randomised per process, so use a stable hash.</t>
        </is>
      </c>
      <c r="G130" s="13" t="inlineStr"/>
    </row>
    <row r="131">
      <c r="A131" s="13" t="n">
        <v>11</v>
      </c>
      <c r="B131" s="24" t="n">
        <v>46303</v>
      </c>
      <c r="C131" s="13" t="inlineStr">
        <is>
          <t>LLD</t>
        </is>
      </c>
      <c r="D131" s="16" t="inlineStr">
        <is>
          <t>Intermediate</t>
        </is>
      </c>
      <c r="E131" s="13" t="inlineStr">
        <is>
          <t>How is Strategy different from the State pattern?</t>
        </is>
      </c>
      <c r="F131" s="13" t="inlineStr">
        <is>
          <t>Both delegate behaviour to an interchangeable object, but the intent differs. In Strategy, the client chooses the algorithm and strategies are independent of each other. In State, the object's behaviour changes as its internal state changes, and states usually know about and trigger transitions to other states (Order: Pending to Paid to Shipped).</t>
        </is>
      </c>
      <c r="G131" s="13" t="inlineStr"/>
    </row>
    <row r="132">
      <c r="A132" s="13" t="n">
        <v>11</v>
      </c>
      <c r="B132" s="24" t="n">
        <v>46303</v>
      </c>
      <c r="C132" s="13" t="inlineStr">
        <is>
          <t>LLD</t>
        </is>
      </c>
      <c r="D132" s="17" t="inlineStr">
        <is>
          <t>Advanced</t>
        </is>
      </c>
      <c r="E132" s="13" t="inlineStr">
        <is>
          <t>How do you select a strategy at runtime in ASP.NET Core?</t>
        </is>
      </c>
      <c r="F132" s="13" t="inlineStr">
        <is>
          <t>- Register all implementations and inject IEnumerable&lt;IStrategy&gt;, then pick by a key property
- Use keyed services (.NET 8+): AddKeyedScoped&lt;IStrategy, HashStrategy&gt;("hash") and resolve with [FromKeyedServices] or GetRequiredKeyedService
- Bind the chosen key from configuration (IOptions) so switching strategy needs no code change
- Use a small factory that maps keys to strategies</t>
        </is>
      </c>
      <c r="G132" s="13" t="inlineStr"/>
    </row>
    <row r="133">
      <c r="A133" s="13" t="n">
        <v>11</v>
      </c>
      <c r="B133" s="24" t="n">
        <v>46303</v>
      </c>
      <c r="C133" s="13" t="inlineStr">
        <is>
          <t>LLD</t>
        </is>
      </c>
      <c r="D133" s="17" t="inlineStr">
        <is>
          <t>Advanced</t>
        </is>
      </c>
      <c r="E133" s="13" t="inlineStr">
        <is>
          <t>Can you implement Strategy with delegates instead of interfaces? What are the trade-offs?</t>
        </is>
      </c>
      <c r="F133" s="13" t="inlineStr">
        <is>
          <t>Yes: pass a Func&lt;T, TResult&gt; (for example Func&lt;decimal, decimal&gt; for a discount), which is concise for single-method, stateless algorithms. Interfaces are better when the strategy has multiple methods, its own dependencies injected by DI, configuration, or needs a name for selection and logging. Delegates are harder to discover, register and mock with meaningful names.</t>
        </is>
      </c>
      <c r="G133" s="13" t="inlineStr"/>
    </row>
    <row r="134">
      <c r="A134" s="13" t="n">
        <v>12</v>
      </c>
      <c r="B134" s="24" t="n">
        <v>46304</v>
      </c>
      <c r="C134" s="13" t="inlineStr">
        <is>
          <t>HLD</t>
        </is>
      </c>
      <c r="D134" s="18" t="inlineStr">
        <is>
          <t>Basic</t>
        </is>
      </c>
      <c r="E134" s="13" t="inlineStr">
        <is>
          <t>What does ACID stand for?</t>
        </is>
      </c>
      <c r="F134" s="13" t="inlineStr">
        <is>
          <t>- Atomicity: all operations in a transaction succeed or none do (rollback on failure)
- Consistency: a transaction moves the database from one valid state to another, respecting constraints
- Isolation: concurrent transactions do not see each other's partial work, as defined by the isolation level
- Durability: once committed, data survives crashes, usually via a write-ahead log flushed to disk</t>
        </is>
      </c>
      <c r="G134" s="13" t="inlineStr"/>
    </row>
    <row r="135">
      <c r="A135" s="13" t="n">
        <v>12</v>
      </c>
      <c r="B135" s="24" t="n">
        <v>46304</v>
      </c>
      <c r="C135" s="13" t="inlineStr">
        <is>
          <t>HLD</t>
        </is>
      </c>
      <c r="D135" s="18" t="inlineStr">
        <is>
          <t>Basic</t>
        </is>
      </c>
      <c r="E135" s="13" t="inlineStr">
        <is>
          <t>What are dirty reads, non-repeatable reads and phantom reads?</t>
        </is>
      </c>
      <c r="F135" s="13" t="inlineStr">
        <is>
          <t>A dirty read is reading another transaction's uncommitted change, which may be rolled back. A non-repeatable read is reading the same row twice in a transaction and getting different values because another transaction updated and committed it in between. A phantom read is running the same range query twice and getting new or missing rows because another transaction inserted or deleted matching rows.</t>
        </is>
      </c>
      <c r="G135" s="13" t="inlineStr"/>
    </row>
    <row r="136">
      <c r="A136" s="13" t="n">
        <v>12</v>
      </c>
      <c r="B136" s="24" t="n">
        <v>46304</v>
      </c>
      <c r="C136" s="13" t="inlineStr">
        <is>
          <t>HLD</t>
        </is>
      </c>
      <c r="D136" s="16" t="inlineStr">
        <is>
          <t>Intermediate</t>
        </is>
      </c>
      <c r="E136" s="13" t="inlineStr">
        <is>
          <t>Explain the four standard isolation levels and which anomalies each prevents.</t>
        </is>
      </c>
      <c r="F136" s="13" t="inlineStr">
        <is>
          <t>- Read Uncommitted: allows dirty reads, non-repeatable reads and phantoms
- Read Committed (default in SQL Server and Postgres): prevents dirty reads
- Repeatable Read: also prevents non-repeatable reads; phantoms possible in the standard (Postgres and MySQL InnoDB largely prevent them too)
- Serializable: prevents all three, behaving as if transactions ran one after another
Higher levels reduce anomalies at the cost of more locking or aborts.</t>
        </is>
      </c>
      <c r="G136" s="13" t="inlineStr"/>
    </row>
    <row r="137">
      <c r="A137" s="13" t="n">
        <v>12</v>
      </c>
      <c r="B137" s="24" t="n">
        <v>46304</v>
      </c>
      <c r="C137" s="13" t="inlineStr">
        <is>
          <t>HLD</t>
        </is>
      </c>
      <c r="D137" s="16" t="inlineStr">
        <is>
          <t>Intermediate</t>
        </is>
      </c>
      <c r="E137" s="13" t="inlineStr">
        <is>
          <t>What is a lost update, and how do you prevent it?</t>
        </is>
      </c>
      <c r="F137" s="13" t="inlineStr">
        <is>
          <t>A lost update happens when two transactions read the same value, both modify it and write it back, so one change overwrites the other (two users decrementing stock from 10 to 9 instead of 8). Prevent it with an atomic update (UPDATE ... SET stock = stock - 1 WHERE stock &gt; 0), pessimistic locking (SELECT ... FOR UPDATE or UPDLOCK), or optimistic concurrency with a version column (rowversion in SQL Server, EF Core concurrency tokens) that fails the second write so it can retry.</t>
        </is>
      </c>
      <c r="G137" s="13" t="inlineStr"/>
    </row>
    <row r="138">
      <c r="A138" s="13" t="n">
        <v>12</v>
      </c>
      <c r="B138" s="24" t="n">
        <v>46304</v>
      </c>
      <c r="C138" s="13" t="inlineStr">
        <is>
          <t>HLD</t>
        </is>
      </c>
      <c r="D138" s="17" t="inlineStr">
        <is>
          <t>Advanced</t>
        </is>
      </c>
      <c r="E138" s="13" t="inlineStr">
        <is>
          <t>When would you use SERIALIZABLE and what does it cost?</t>
        </is>
      </c>
      <c r="F138" s="13" t="inlineStr">
        <is>
          <t>Use it when correctness depends on a condition across multiple rows that other transactions could change, such as write skew (two doctors both going off call because each saw the other on call) or enforcing 'no overlapping bookings'. It costs throughput: lock-based implementations take range locks and cause blocking and deadlocks, while snapshot-based ones (Postgres SSI) abort conflicting transactions, so the application must retry. Often a narrower fix like a unique constraint or SELECT FOR UPDATE is cheaper.</t>
        </is>
      </c>
      <c r="G138" s="13" t="inlineStr"/>
    </row>
    <row r="139">
      <c r="A139" s="13" t="n">
        <v>12</v>
      </c>
      <c r="B139" s="24" t="n">
        <v>46304</v>
      </c>
      <c r="C139" s="13" t="inlineStr">
        <is>
          <t>HLD</t>
        </is>
      </c>
      <c r="D139" s="17" t="inlineStr">
        <is>
          <t>Advanced</t>
        </is>
      </c>
      <c r="E139" s="13" t="inlineStr">
        <is>
          <t>What is snapshot isolation / MVCC and how does it differ from lock-based isolation?</t>
        </is>
      </c>
      <c r="F139" s="13" t="inlineStr">
        <is>
          <t>With MVCC the database keeps multiple versions of rows, and each transaction reads a consistent snapshot as of its start, so readers never block writers and writers never block readers. Lock-based isolation makes readers take shared locks that conflict with writers' exclusive locks, causing blocking. Snapshot isolation prevents dirty and non-repeatable reads but still allows write skew, which is why true serializability needs SSI or locking. SQL Server offers it through READ_COMMITTED_SNAPSHOT and SNAPSHOT isolation; Postgres uses MVCC by default.</t>
        </is>
      </c>
      <c r="G139" s="13" t="inlineStr"/>
    </row>
    <row r="140">
      <c r="A140" s="13" t="n">
        <v>12</v>
      </c>
      <c r="B140" s="24" t="n">
        <v>46304</v>
      </c>
      <c r="C140" s="13" t="inlineStr">
        <is>
          <t>LLD</t>
        </is>
      </c>
      <c r="D140" s="18" t="inlineStr">
        <is>
          <t>Basic</t>
        </is>
      </c>
      <c r="E140" s="13" t="inlineStr">
        <is>
          <t>What is the Repository pattern?</t>
        </is>
      </c>
      <c r="F140" s="13" t="inlineStr">
        <is>
          <t>A repository mediates between the domain and the data mapping layer, exposing a collection-like interface (GetById, Add, Remove, Find) for aggregates. Business code depends on the repository interface, not on SQL or EF Core directly, which keeps persistence details out of the domain and makes the logic easy to unit test.</t>
        </is>
      </c>
      <c r="G140" s="13" t="inlineStr"/>
    </row>
    <row r="141">
      <c r="A141" s="13" t="n">
        <v>12</v>
      </c>
      <c r="B141" s="24" t="n">
        <v>46304</v>
      </c>
      <c r="C141" s="13" t="inlineStr">
        <is>
          <t>LLD</t>
        </is>
      </c>
      <c r="D141" s="18" t="inlineStr">
        <is>
          <t>Basic</t>
        </is>
      </c>
      <c r="E141" s="13" t="inlineStr">
        <is>
          <t>Show a basic repository interface and EF Core implementation.</t>
        </is>
      </c>
      <c r="F141" s="13" t="inlineStr">
        <is>
          <t>The interface lives with the domain; the implementation lives in the infrastructure layer.
```csharp
public interface IOrderRepository {
    Task&lt;Order?&gt; GetByIdAsync(int id, CancellationToken ct);
    Task AddAsync(Order order, CancellationToken ct);
}
public class EfOrderRepository(AppDbContext db) : IOrderRepository {
    public Task&lt;Order?&gt; GetByIdAsync(int id, CancellationToken ct) =&gt;
        db.Orders.Include(o =&gt; o.Items).FirstOrDefaultAsync(o =&gt; o.Id == id, ct);
    public async Task AddAsync(Order order, CancellationToken ct) =&gt;
        await db.Orders.AddAsync(order, ct);
}
```</t>
        </is>
      </c>
      <c r="G141" s="13" t="inlineStr"/>
    </row>
    <row r="142">
      <c r="A142" s="13" t="n">
        <v>12</v>
      </c>
      <c r="B142" s="24" t="n">
        <v>46304</v>
      </c>
      <c r="C142" s="13" t="inlineStr">
        <is>
          <t>LLD</t>
        </is>
      </c>
      <c r="D142" s="16" t="inlineStr">
        <is>
          <t>Intermediate</t>
        </is>
      </c>
      <c r="E142" s="13" t="inlineStr">
        <is>
          <t>What is the Unit of Work pattern and how does it relate to repositories?</t>
        </is>
      </c>
      <c r="F142" s="13" t="inlineStr">
        <is>
          <t>Unit of Work tracks all changes made during a business operation and commits them together in one transaction. Repositories add or modify entities; the unit of work's SaveChanges persists them atomically. In EF Core, DbContext already is a unit of work and each DbSet acts like a repository, so a custom IUnitOfWork usually just wraps SaveChangesAsync.</t>
        </is>
      </c>
      <c r="G142" s="13" t="inlineStr"/>
    </row>
    <row r="143">
      <c r="A143" s="13" t="n">
        <v>12</v>
      </c>
      <c r="B143" s="24" t="n">
        <v>46304</v>
      </c>
      <c r="C143" s="13" t="inlineStr">
        <is>
          <t>LLD</t>
        </is>
      </c>
      <c r="D143" s="16" t="inlineStr">
        <is>
          <t>Intermediate</t>
        </is>
      </c>
      <c r="E143" s="13" t="inlineStr">
        <is>
          <t>Generic repository vs specific repository: which is better?</t>
        </is>
      </c>
      <c r="F143" s="13" t="inlineStr">
        <is>
          <t>A generic IRepository&lt;T&gt; with GetAll, Add and Update reduces boilerplate but leaks a one-size-fits-all API, often exposes IQueryable (leaking EF concerns), and offers operations that may not make sense for every aggregate. Specific repositories (IOrderRepository.GetPendingOrdersForCustomer) express intent, return only what the domain needs and are easier to optimise. A common compromise is a small generic base used internally by specific repositories.</t>
        </is>
      </c>
      <c r="G143" s="13" t="inlineStr"/>
    </row>
    <row r="144">
      <c r="A144" s="13" t="n">
        <v>12</v>
      </c>
      <c r="B144" s="24" t="n">
        <v>46304</v>
      </c>
      <c r="C144" s="13" t="inlineStr">
        <is>
          <t>LLD</t>
        </is>
      </c>
      <c r="D144" s="17" t="inlineStr">
        <is>
          <t>Advanced</t>
        </is>
      </c>
      <c r="E144" s="13" t="inlineStr">
        <is>
          <t>Is the Repository pattern redundant on top of EF Core?</t>
        </is>
      </c>
      <c r="F144" s="13" t="inlineStr">
        <is>
          <t>It can be: DbContext is already a repository and unit of work, and wrapping it with thin pass-through repositories adds code without value, while hiding useful features like Include, projections and AsNoTracking. It is worth it when you follow DDD with aggregates, want the domain free of EF dependencies, need to swap or mix data sources (Dapper for hot queries), or want to centralise complex queries. Many teams use repositories for writes/aggregates and query DbContext or Dapper directly for read models (CQRS-lite).</t>
        </is>
      </c>
      <c r="G144" s="13" t="inlineStr"/>
    </row>
    <row r="145">
      <c r="A145" s="13" t="n">
        <v>12</v>
      </c>
      <c r="B145" s="24" t="n">
        <v>46304</v>
      </c>
      <c r="C145" s="13" t="inlineStr">
        <is>
          <t>LLD</t>
        </is>
      </c>
      <c r="D145" s="17" t="inlineStr">
        <is>
          <t>Advanced</t>
        </is>
      </c>
      <c r="E145" s="13" t="inlineStr">
        <is>
          <t>Should a repository return IQueryable? Explain the trade-offs.</t>
        </is>
      </c>
      <c r="F145" s="13" t="inlineStr">
        <is>
          <t>Returning IQueryable lets callers compose filters and projections that EF translates to SQL, which is flexible and efficient. But it leaks persistence concerns: query logic spreads into services, callers can trigger N+1 or untranslatable queries, and the query executes after the repository's control (possibly after the context is disposed). Returning materialised results (IReadOnlyList) or using the Specification pattern keeps queries encapsulated and testable.</t>
        </is>
      </c>
      <c r="G145" s="13" t="inlineStr"/>
    </row>
    <row r="146">
      <c r="A146" s="13" t="n">
        <v>13</v>
      </c>
      <c r="B146" s="24" t="n">
        <v>46305</v>
      </c>
      <c r="C146" s="13" t="inlineStr">
        <is>
          <t>HLD</t>
        </is>
      </c>
      <c r="D146" s="18" t="inlineStr">
        <is>
          <t>Basic</t>
        </is>
      </c>
      <c r="E146" s="13" t="inlineStr">
        <is>
          <t>What core tables would you design for a library system?</t>
        </is>
      </c>
      <c r="F146" s="13" t="inlineStr">
        <is>
          <t>- Book: book_id, isbn (unique), title, author, publisher, year
- Copy (BookItem): copy_id, book_id FK, barcode, status, shelf location
- Member: member_id, name, email, membership_type, status
- Loan: loan_id, copy_id FK, member_id FK, issued_at, due_at, returned_at
- Reservation: reservation_id, book_id FK, member_id FK, created_at, status
Optionally Author and BookAuthor for many-to-many authors, and Fine.</t>
        </is>
      </c>
      <c r="G146" s="13" t="inlineStr"/>
    </row>
    <row r="147">
      <c r="A147" s="13" t="n">
        <v>13</v>
      </c>
      <c r="B147" s="24" t="n">
        <v>46305</v>
      </c>
      <c r="C147" s="13" t="inlineStr">
        <is>
          <t>HLD</t>
        </is>
      </c>
      <c r="D147" s="18" t="inlineStr">
        <is>
          <t>Basic</t>
        </is>
      </c>
      <c r="E147" s="13" t="inlineStr">
        <is>
          <t>Why separate Book from Copy?</t>
        </is>
      </c>
      <c r="F147" s="13" t="inlineStr">
        <is>
          <t>A Book is the title-level information (ISBN, title, author) shared by all physical items, while a Copy is one physical item with its own barcode, condition, location and availability. One Book has many Copies, and a Loan must reference a specific Copy. Keeping them separate avoids duplicating book details and lets you count available copies per title.</t>
        </is>
      </c>
      <c r="G147" s="13" t="inlineStr"/>
    </row>
    <row r="148">
      <c r="A148" s="13" t="n">
        <v>13</v>
      </c>
      <c r="B148" s="24" t="n">
        <v>46305</v>
      </c>
      <c r="C148" s="13" t="inlineStr">
        <is>
          <t>HLD</t>
        </is>
      </c>
      <c r="D148" s="16" t="inlineStr">
        <is>
          <t>Intermediate</t>
        </is>
      </c>
      <c r="E148" s="13" t="inlineStr">
        <is>
          <t>Which indexes would you add and what queries do they serve?</t>
        </is>
      </c>
      <c r="F148" s="13" t="inlineStr">
        <is>
          <t>- Unique index on Book.isbn for lookup by ISBN
- Index or full-text index on title/author for catalog search
- Index on Copy(book_id, status) to find an available copy of a title
- Index on Loan(member_id, returned_at) for a member's active loans
- Index on Loan(due_at) filtered to returned_at IS NULL for overdue reports
- Index on Reservation(book_id, status, created_at) to find the next person in the queue</t>
        </is>
      </c>
      <c r="G148" s="13" t="inlineStr"/>
    </row>
    <row r="149">
      <c r="A149" s="13" t="n">
        <v>13</v>
      </c>
      <c r="B149" s="24" t="n">
        <v>46305</v>
      </c>
      <c r="C149" s="13" t="inlineStr">
        <is>
          <t>HLD</t>
        </is>
      </c>
      <c r="D149" s="16" t="inlineStr">
        <is>
          <t>Intermediate</t>
        </is>
      </c>
      <c r="E149" s="13" t="inlineStr">
        <is>
          <t>How do you prevent the same copy from being loaned to two members at once?</t>
        </is>
      </c>
      <c r="F149" s="13" t="inlineStr">
        <is>
          <t>Enforce it in the database, not only in code: a filtered unique index on Loan(copy_id) WHERE returned_at IS NULL guarantees at most one open loan per copy. In the issue transaction, update the copy's status with a conditional update (UPDATE Copy SET status='Loaned' WHERE copy_id=@id AND status='Available') and check rows affected, or use optimistic concurrency with a version column. A concurrent second request then fails cleanly instead of double-issuing.</t>
        </is>
      </c>
      <c r="G149" s="13" t="inlineStr"/>
    </row>
    <row r="150">
      <c r="A150" s="13" t="n">
        <v>13</v>
      </c>
      <c r="B150" s="24" t="n">
        <v>46305</v>
      </c>
      <c r="C150" s="13" t="inlineStr">
        <is>
          <t>HLD</t>
        </is>
      </c>
      <c r="D150" s="17" t="inlineStr">
        <is>
          <t>Advanced</t>
        </is>
      </c>
      <c r="E150" s="13" t="inlineStr">
        <is>
          <t>How would you model reservations and the hold queue when a copy is returned?</t>
        </is>
      </c>
      <c r="F150" s="13" t="inlineStr">
        <is>
          <t>Reservations are made at the Book level (any copy) with a status (Waiting, ReadyForPickup, Fulfilled, Cancelled, Expired) and a created_at for FIFO order. On return, in the same transaction, find the oldest waiting reservation for that book; if found, mark the copy OnHold for that member with a pickup deadline and notify them, otherwise mark it Available. A background job expires holds past the deadline and moves to the next reservation.</t>
        </is>
      </c>
      <c r="G150" s="13" t="inlineStr"/>
    </row>
    <row r="151">
      <c r="A151" s="13" t="n">
        <v>13</v>
      </c>
      <c r="B151" s="24" t="n">
        <v>46305</v>
      </c>
      <c r="C151" s="13" t="inlineStr">
        <is>
          <t>HLD</t>
        </is>
      </c>
      <c r="D151" s="17" t="inlineStr">
        <is>
          <t>Advanced</t>
        </is>
      </c>
      <c r="E151" s="13" t="inlineStr">
        <is>
          <t>How would the design change if the library became a multi-branch city network with millions of loans?</t>
        </is>
      </c>
      <c r="F151" s="13" t="inlineStr">
        <is>
          <t>Add a Branch table and branch_id on Copy (and on Loan for where it was issued/returned), so availability queries become per branch. Keep Loan history in a partitioned table (by issued date) and archive old loans, while active loans stay small and indexed. Catalog search moves to a search engine like Elasticsearch fed by change events, and read-heavy catalog pages are cached. Sharding by branch is possible but inter-branch transfers and member-wide queries make a single well-indexed primary with replicas the better first step.</t>
        </is>
      </c>
      <c r="G151" s="13" t="inlineStr"/>
    </row>
    <row r="152">
      <c r="A152" s="13" t="n">
        <v>13</v>
      </c>
      <c r="B152" s="24" t="n">
        <v>46305</v>
      </c>
      <c r="C152" s="13" t="inlineStr">
        <is>
          <t>LLD</t>
        </is>
      </c>
      <c r="D152" s="18" t="inlineStr">
        <is>
          <t>Basic</t>
        </is>
      </c>
      <c r="E152" s="13" t="inlineStr">
        <is>
          <t>What are the main classes in a Library Management System LLD?</t>
        </is>
      </c>
      <c r="F152" s="13" t="inlineStr">
        <is>
          <t>- Book (ISBN, title, authors) and BookItem (barcode, status, rack) for physical copies
- Member and Librarian, often derived from Account/Person
- Loan (BookItem, Member, issue date, due date, return date)
- Reservation, Fine and a Catalog for searching
- Services such as LoanService and NotificationService that coordinate operations</t>
        </is>
      </c>
      <c r="G152" s="13" t="inlineStr"/>
    </row>
    <row r="153">
      <c r="A153" s="13" t="n">
        <v>13</v>
      </c>
      <c r="B153" s="24" t="n">
        <v>46305</v>
      </c>
      <c r="C153" s="13" t="inlineStr">
        <is>
          <t>LLD</t>
        </is>
      </c>
      <c r="D153" s="18" t="inlineStr">
        <is>
          <t>Basic</t>
        </is>
      </c>
      <c r="E153" s="13" t="inlineStr">
        <is>
          <t>What relationships exist between these classes?</t>
        </is>
      </c>
      <c r="F153" s="13" t="inlineStr">
        <is>
          <t>Book to BookItem is one-to-many composition (a copy belongs to one book). Member to Loan is one-to-many association, and a Loan links exactly one BookItem to one Member. Catalog aggregates Books and indexes them by title, author and subject. Member and Librarian inherit from a common Account or Person, while Librarian gets extra admin capabilities.</t>
        </is>
      </c>
      <c r="G153" s="13" t="inlineStr"/>
    </row>
    <row r="154">
      <c r="A154" s="13" t="n">
        <v>13</v>
      </c>
      <c r="B154" s="24" t="n">
        <v>46305</v>
      </c>
      <c r="C154" s="13" t="inlineStr">
        <is>
          <t>LLD</t>
        </is>
      </c>
      <c r="D154" s="16" t="inlineStr">
        <is>
          <t>Intermediate</t>
        </is>
      </c>
      <c r="E154" s="13" t="inlineStr">
        <is>
          <t>How would you implement the checkout operation with rules like max 5 books and no pending fines?</t>
        </is>
      </c>
      <c r="F154" s="13" t="inlineStr">
        <is>
          <t>Put the orchestration in a LoanService and keep rules in the domain objects or pluggable rule classes, so new rules do not change the service.
```csharp
public Loan Checkout(Member member, BookItem item) {
    if (member.ActiveLoans.Count &gt;= MaxBooks)
        throw new DomainException("Loan limit reached");
    if (member.HasPendingFines) throw new DomainException("Pay fines first");
    item.MarkLoaned(); // throws if not Available
    var loan = new Loan(item, member, _clock.Today, _clock.Today.AddDays(14));
    member.AddLoan(loan);
    _loans.Add(loan);
    return loan;
}
```</t>
        </is>
      </c>
      <c r="G154" s="13" t="inlineStr"/>
    </row>
    <row r="155">
      <c r="A155" s="13" t="n">
        <v>13</v>
      </c>
      <c r="B155" s="24" t="n">
        <v>46305</v>
      </c>
      <c r="C155" s="13" t="inlineStr">
        <is>
          <t>LLD</t>
        </is>
      </c>
      <c r="D155" s="16" t="inlineStr">
        <is>
          <t>Intermediate</t>
        </is>
      </c>
      <c r="E155" s="13" t="inlineStr">
        <is>
          <t>How would you model BookItem status, and why not just use booleans?</t>
        </is>
      </c>
      <c r="F155" s="13" t="inlineStr">
        <is>
          <t>Use an enum (Available, Loaned, Reserved/OnHold, Lost, UnderRepair) owned by BookItem, with methods like MarkLoaned and MarkReturned that validate allowed transitions. Several booleans (isLoaned, isReserved) allow impossible combinations and scatter checks across the code. If transitions have rich behaviour, the State pattern can model each status as a class.</t>
        </is>
      </c>
      <c r="G155" s="13" t="inlineStr"/>
    </row>
    <row r="156">
      <c r="A156" s="13" t="n">
        <v>13</v>
      </c>
      <c r="B156" s="24" t="n">
        <v>46305</v>
      </c>
      <c r="C156" s="13" t="inlineStr">
        <is>
          <t>LLD</t>
        </is>
      </c>
      <c r="D156" s="17" t="inlineStr">
        <is>
          <t>Advanced</t>
        </is>
      </c>
      <c r="E156" s="13" t="inlineStr">
        <is>
          <t>How would you design fine calculation so rules can change per membership type?</t>
        </is>
      </c>
      <c r="F156" s="13" t="inlineStr">
        <is>
          <t>Define an IFineCalculationStrategy (for example CalculateFine(Loan loan, DateOnly returnDate)) with implementations such as StandardFinePolicy and StudentFinePolicy, or a policy chosen by membership type via a factory. Inject a clock abstraction (TimeProvider in .NET 8) instead of DateTime.Now so tests can control dates. This keeps Loan free of pricing rules and follows OCP when a new membership type arrives.</t>
        </is>
      </c>
      <c r="G156" s="13" t="inlineStr"/>
    </row>
    <row r="157">
      <c r="A157" s="13" t="n">
        <v>13</v>
      </c>
      <c r="B157" s="24" t="n">
        <v>46305</v>
      </c>
      <c r="C157" s="13" t="inlineStr">
        <is>
          <t>LLD</t>
        </is>
      </c>
      <c r="D157" s="17" t="inlineStr">
        <is>
          <t>Advanced</t>
        </is>
      </c>
      <c r="E157" s="13" t="inlineStr">
        <is>
          <t>How would you notify members when a reserved book becomes available or a loan is due?</t>
        </is>
      </c>
      <c r="F157" s="13" t="inlineStr">
        <is>
          <t>Use the Observer pattern or domain events: when BookItem is returned, raise a BookReturned event; a handler checks the reservation queue and publishes a ReservationReady notification. A scheduled job raises LoanDueSoon events for loans due in two days. Notification handlers use an INotificationChannel abstraction (email, SMS), so the core loan logic knows nothing about how members are notified.</t>
        </is>
      </c>
      <c r="G157" s="13" t="inlineStr"/>
    </row>
    <row r="158">
      <c r="A158" s="13" t="n">
        <v>14</v>
      </c>
      <c r="B158" s="24" t="n">
        <v>46306</v>
      </c>
      <c r="C158" s="13" t="inlineStr">
        <is>
          <t>HLD</t>
        </is>
      </c>
      <c r="D158" s="18" t="inlineStr">
        <is>
          <t>Basic</t>
        </is>
      </c>
      <c r="E158" s="13" t="inlineStr">
        <is>
          <t>What does the CAP theorem state?</t>
        </is>
      </c>
      <c r="F158" s="13" t="inlineStr">
        <is>
          <t>In a distributed data system, when a network partition happens you must choose between Consistency (every read sees the latest write or gets an error) and Availability (every request gets a non-error response, possibly stale). Partition tolerance is not optional in real networks, so the practical choice is CP or AP during a partition; when there is no partition you can have both.</t>
        </is>
      </c>
      <c r="G158" s="13" t="inlineStr"/>
    </row>
    <row r="159">
      <c r="A159" s="13" t="n">
        <v>14</v>
      </c>
      <c r="B159" s="24" t="n">
        <v>46306</v>
      </c>
      <c r="C159" s="13" t="inlineStr">
        <is>
          <t>HLD</t>
        </is>
      </c>
      <c r="D159" s="18" t="inlineStr">
        <is>
          <t>Basic</t>
        </is>
      </c>
      <c r="E159" s="13" t="inlineStr">
        <is>
          <t>Give examples of CP and AP systems and use cases.</t>
        </is>
      </c>
      <c r="F159" s="13" t="inlineStr">
        <is>
          <t>CP: a bank ledger or inventory count where showing wrong data is worse than an error; systems like ZooKeeper, etcd, HBase and a single-primary SQL database refuse or block requests on the minority side. AP: a shopping cart, likes counter or social feed where staying up matters more and conflicts can be merged later; Cassandra, DynamoDB (default eventual reads) and CouchDB keep serving and reconcile afterwards.</t>
        </is>
      </c>
      <c r="G159" s="13" t="inlineStr"/>
    </row>
    <row r="160">
      <c r="A160" s="13" t="n">
        <v>14</v>
      </c>
      <c r="B160" s="24" t="n">
        <v>46306</v>
      </c>
      <c r="C160" s="13" t="inlineStr">
        <is>
          <t>HLD</t>
        </is>
      </c>
      <c r="D160" s="16" t="inlineStr">
        <is>
          <t>Intermediate</t>
        </is>
      </c>
      <c r="E160" s="13" t="inlineStr">
        <is>
          <t>Rapid fire: SQL vs NoSQL and B-tree indexes in two sentences each.</t>
        </is>
      </c>
      <c r="F160" s="13" t="inlineStr">
        <is>
          <t>SQL offers schemas, joins and ACID and fits relational, transactional data; NoSQL offers flexible schemas and horizontal scale and fits known key-based access patterns at high volume. A B-tree index keeps keys sorted in shallow, wide pages for O(log n) lookups and range scans, and composite indexes follow the leftmost prefix rule at the cost of slower writes.</t>
        </is>
      </c>
      <c r="G160" s="13" t="inlineStr"/>
    </row>
    <row r="161">
      <c r="A161" s="13" t="n">
        <v>14</v>
      </c>
      <c r="B161" s="24" t="n">
        <v>46306</v>
      </c>
      <c r="C161" s="13" t="inlineStr">
        <is>
          <t>HLD</t>
        </is>
      </c>
      <c r="D161" s="16" t="inlineStr">
        <is>
          <t>Intermediate</t>
        </is>
      </c>
      <c r="E161" s="13" t="inlineStr">
        <is>
          <t>Rapid fire: replication vs sharding, and what problem each solves.</t>
        </is>
      </c>
      <c r="F161" s="13" t="inlineStr">
        <is>
          <t>Replication copies the same data to several nodes to scale reads and survive failures, but async replicas lag, causing read-your-own-writes issues. Sharding splits different data across nodes to scale writes and storage, but needs a good shard key to avoid hot spots and makes cross-shard queries and rebalancing expensive. Real systems usually do both: each shard is replicated.</t>
        </is>
      </c>
      <c r="G161" s="13" t="inlineStr"/>
    </row>
    <row r="162">
      <c r="A162" s="13" t="n">
        <v>14</v>
      </c>
      <c r="B162" s="24" t="n">
        <v>46306</v>
      </c>
      <c r="C162" s="13" t="inlineStr">
        <is>
          <t>HLD</t>
        </is>
      </c>
      <c r="D162" s="17" t="inlineStr">
        <is>
          <t>Advanced</t>
        </is>
      </c>
      <c r="E162" s="13" t="inlineStr">
        <is>
          <t>What is PACELC and why is it more useful than CAP alone?</t>
        </is>
      </c>
      <c r="F162" s="13" t="inlineStr">
        <is>
          <t>PACELC says: if there is a Partition, choose Availability or Consistency; Else, in normal operation, choose Latency or Consistency. CAP only describes rare partition behaviour, but the everyday trade-off is that stronger consistency needs coordination and adds latency. For example DynamoDB and Cassandra are PA/EL (fast, eventually consistent by default), while Spanner is PC/EC (consistent, paying latency).</t>
        </is>
      </c>
      <c r="G162" s="13" t="inlineStr"/>
    </row>
    <row r="163">
      <c r="A163" s="13" t="n">
        <v>14</v>
      </c>
      <c r="B163" s="24" t="n">
        <v>46306</v>
      </c>
      <c r="C163" s="13" t="inlineStr">
        <is>
          <t>HLD</t>
        </is>
      </c>
      <c r="D163" s="17" t="inlineStr">
        <is>
          <t>Advanced</t>
        </is>
      </c>
      <c r="E163" s="13" t="inlineStr">
        <is>
          <t>Rapid fire: isolation levels and what SERIALIZABLE costs.</t>
        </is>
      </c>
      <c r="F163" s="13" t="inlineStr">
        <is>
          <t>Read Uncommitted allows dirty reads, Read Committed prevents them, Repeatable Read also prevents non-repeatable reads, and Serializable prevents phantoms and write skew too. Serializable costs throughput through range locks, blocking and deadlocks or through transaction aborts that must be retried, so use it only where cross-row invariants demand it.</t>
        </is>
      </c>
      <c r="G163" s="13" t="inlineStr"/>
    </row>
    <row r="164">
      <c r="A164" s="13" t="n">
        <v>14</v>
      </c>
      <c r="B164" s="24" t="n">
        <v>46306</v>
      </c>
      <c r="C164" s="13" t="inlineStr">
        <is>
          <t>LLD</t>
        </is>
      </c>
      <c r="D164" s="18" t="inlineStr">
        <is>
          <t>Basic</t>
        </is>
      </c>
      <c r="E164" s="13" t="inlineStr">
        <is>
          <t>Rapid fire: what problem does each pattern solve - Singleton, Factory, Builder, Strategy, Repository?</t>
        </is>
      </c>
      <c r="F164" s="13" t="inlineStr">
        <is>
          <t>- Singleton: exactly one shared instance with a global access point
- Factory: create objects without the caller knowing the concrete class
- Builder: construct complex objects step by step with readable optional parts
- Strategy: swap interchangeable algorithms behind one interface at runtime
- Repository: hide data access behind a collection-like domain interface</t>
        </is>
      </c>
      <c r="G164" s="13" t="inlineStr"/>
    </row>
    <row r="165">
      <c r="A165" s="13" t="n">
        <v>14</v>
      </c>
      <c r="B165" s="24" t="n">
        <v>46306</v>
      </c>
      <c r="C165" s="13" t="inlineStr">
        <is>
          <t>LLD</t>
        </is>
      </c>
      <c r="D165" s="18" t="inlineStr">
        <is>
          <t>Basic</t>
        </is>
      </c>
      <c r="E165" s="13" t="inlineStr">
        <is>
          <t>Rapid fire: which patterns are creational, structural or behavioural?</t>
        </is>
      </c>
      <c r="F165" s="13" t="inlineStr">
        <is>
          <t>Singleton, Factory Method, Abstract Factory, Builder and Prototype are creational. Adapter, Decorator, Facade, Proxy and Composite are structural. Strategy, Observer, State, Command and Template Method are behavioural. Repository is not a GoF pattern; it is an enterprise/DDD data-access pattern.</t>
        </is>
      </c>
      <c r="G165" s="13" t="inlineStr"/>
    </row>
    <row r="166">
      <c r="A166" s="13" t="n">
        <v>14</v>
      </c>
      <c r="B166" s="24" t="n">
        <v>46306</v>
      </c>
      <c r="C166" s="13" t="inlineStr">
        <is>
          <t>LLD</t>
        </is>
      </c>
      <c r="D166" s="16" t="inlineStr">
        <is>
          <t>Intermediate</t>
        </is>
      </c>
      <c r="E166" s="13" t="inlineStr">
        <is>
          <t>Factory vs Builder: how do you choose?</t>
        </is>
      </c>
      <c r="F166" s="13" t="inlineStr">
        <is>
          <t>Use a Factory when the question is which concrete type to create, usually in one call based on input. Use a Builder when the question is how to assemble one complex object with many optional parts or steps. They can combine: a factory can return a pre-configured builder, or a builder can use factories for its parts.</t>
        </is>
      </c>
      <c r="G166" s="13" t="inlineStr"/>
    </row>
    <row r="167">
      <c r="A167" s="13" t="n">
        <v>14</v>
      </c>
      <c r="B167" s="24" t="n">
        <v>46306</v>
      </c>
      <c r="C167" s="13" t="inlineStr">
        <is>
          <t>LLD</t>
        </is>
      </c>
      <c r="D167" s="16" t="inlineStr">
        <is>
          <t>Intermediate</t>
        </is>
      </c>
      <c r="E167" s="13" t="inlineStr">
        <is>
          <t>Factory vs Strategy: they both use interfaces and a lookup. What is the difference?</t>
        </is>
      </c>
      <c r="F167" s="13" t="inlineStr">
        <is>
          <t>Factory is creational: its job is to produce an object and it is done once the object is returned. Strategy is behavioural: its job is to encapsulate an algorithm the context calls to perform work. In practice a factory is often used to select and create the right strategy, for example a PaymentStrategyFactory returning an IPaymentStrategy.</t>
        </is>
      </c>
      <c r="G167" s="13" t="inlineStr"/>
    </row>
    <row r="168">
      <c r="A168" s="13" t="n">
        <v>14</v>
      </c>
      <c r="B168" s="24" t="n">
        <v>46306</v>
      </c>
      <c r="C168" s="13" t="inlineStr">
        <is>
          <t>LLD</t>
        </is>
      </c>
      <c r="D168" s="17" t="inlineStr">
        <is>
          <t>Advanced</t>
        </is>
      </c>
      <c r="E168" s="13" t="inlineStr">
        <is>
          <t>How does DI in ASP.NET Core replace or change the classic Singleton and Factory patterns?</t>
        </is>
      </c>
      <c r="F168" s="13" t="inlineStr">
        <is>
          <t>AddSingleton gives a single instance managed by the container, so you no longer need a static Instance property, and consumers get it through constructor injection, which keeps them testable. Factories become DI registrations with delegates, IEnumerable&lt;T&gt; resolution, keyed services or built-in factories like IHttpClientFactory. You still write explicit factories when the choice depends on runtime data.</t>
        </is>
      </c>
      <c r="G168" s="13" t="inlineStr"/>
    </row>
    <row r="169">
      <c r="A169" s="13" t="n">
        <v>14</v>
      </c>
      <c r="B169" s="24" t="n">
        <v>46306</v>
      </c>
      <c r="C169" s="13" t="inlineStr">
        <is>
          <t>LLD</t>
        </is>
      </c>
      <c r="D169" s="17" t="inlineStr">
        <is>
          <t>Advanced</t>
        </is>
      </c>
      <c r="E169" s="13" t="inlineStr">
        <is>
          <t>Walk through how these patterns fit together in a typical .NET order service.</t>
        </is>
      </c>
      <c r="F169" s="13" t="inlineStr">
        <is>
          <t>A controller receives the request and calls an OrderService injected by DI. The service uses an OrderBuilder (or domain factory) to create a valid Order, a PricingStrategy chosen by customer type to calculate totals, and a PaymentProcessorFactory to pick the payment gateway. It saves through IOrderRepository and a unit of work, and shared infrastructure like configuration or a cache is registered as a singleton.</t>
        </is>
      </c>
      <c r="G169" s="13" t="inlineStr"/>
    </row>
    <row r="170">
      <c r="A170" s="13" t="n">
        <v>15</v>
      </c>
      <c r="B170" s="24" t="n">
        <v>46307</v>
      </c>
      <c r="C170" s="13" t="inlineStr">
        <is>
          <t>HLD</t>
        </is>
      </c>
      <c r="D170" s="18" t="inlineStr">
        <is>
          <t>Basic</t>
        </is>
      </c>
      <c r="E170" s="13" t="inlineStr">
        <is>
          <t>What is caching and what should you cache?</t>
        </is>
      </c>
      <c r="F170" s="13" t="inlineStr">
        <is>
          <t>Caching stores copies of data in a faster layer (usually memory) closer to the consumer to reduce latency and load on the source. Cache data that is read often, expensive to compute or fetch, and changes rarely or can tolerate slight staleness: product details, user profiles, configuration, rendered pages and computed aggregates. Avoid caching highly volatile or strictly consistent data like account balances unless carefully invalidated.</t>
        </is>
      </c>
      <c r="G170" s="13" t="inlineStr"/>
    </row>
    <row r="171">
      <c r="A171" s="13" t="n">
        <v>15</v>
      </c>
      <c r="B171" s="24" t="n">
        <v>46307</v>
      </c>
      <c r="C171" s="13" t="inlineStr">
        <is>
          <t>HLD</t>
        </is>
      </c>
      <c r="D171" s="18" t="inlineStr">
        <is>
          <t>Basic</t>
        </is>
      </c>
      <c r="E171" s="13" t="inlineStr">
        <is>
          <t>What are cache hit, miss and hit ratio?</t>
        </is>
      </c>
      <c r="F171" s="13" t="inlineStr">
        <is>
          <t>A hit means the requested data was found in the cache; a miss means it was not, so the system fetches it from the source and usually populates the cache. Hit ratio is hits divided by total requests. A high hit ratio (often above 90%) means most requests avoid the slow path; a low one means you are paying cache overhead without much benefit, often due to poor key design, short TTLs or a cache that is too small.</t>
        </is>
      </c>
      <c r="G171" s="13" t="inlineStr"/>
    </row>
    <row r="172">
      <c r="A172" s="13" t="n">
        <v>15</v>
      </c>
      <c r="B172" s="24" t="n">
        <v>46307</v>
      </c>
      <c r="C172" s="13" t="inlineStr">
        <is>
          <t>HLD</t>
        </is>
      </c>
      <c r="D172" s="16" t="inlineStr">
        <is>
          <t>Intermediate</t>
        </is>
      </c>
      <c r="E172" s="13" t="inlineStr">
        <is>
          <t>Name the caching layers in a typical web system.</t>
        </is>
      </c>
      <c r="F172" s="13" t="inlineStr">
        <is>
          <t>- Browser cache controlled by Cache-Control and ETag headers
- CDN edge cache for static assets and cacheable API responses
- Reverse proxy or API gateway cache
- In-process application memory (IMemoryCache)
- Distributed cache such as Redis or Memcached shared by all app servers
- Database buffer pool and query plan cache
The closer to the user, the faster, but the harder to invalidate.</t>
        </is>
      </c>
      <c r="G172" s="13" t="inlineStr"/>
    </row>
    <row r="173">
      <c r="A173" s="13" t="n">
        <v>15</v>
      </c>
      <c r="B173" s="24" t="n">
        <v>46307</v>
      </c>
      <c r="C173" s="13" t="inlineStr">
        <is>
          <t>HLD</t>
        </is>
      </c>
      <c r="D173" s="16" t="inlineStr">
        <is>
          <t>Intermediate</t>
        </is>
      </c>
      <c r="E173" s="13" t="inlineStr">
        <is>
          <t>Compare in-memory (IMemoryCache) and distributed (Redis) caching.</t>
        </is>
      </c>
      <c r="F173" s="13" t="inlineStr">
        <is>
          <t>In-process memory is the fastest (no network hop, no serialization) but each server has its own copy, so data can be inconsistent across nodes, memory is limited and it is lost on restart. A distributed cache like Redis is shared by all servers, survives app restarts and scales independently, at the cost of a network round trip and serialization. Many systems combine them as a two-level cache (L1 memory, L2 Redis), as in .NET 9's HybridCache.</t>
        </is>
      </c>
      <c r="G173" s="13" t="inlineStr"/>
    </row>
    <row r="174">
      <c r="A174" s="13" t="n">
        <v>15</v>
      </c>
      <c r="B174" s="24" t="n">
        <v>46307</v>
      </c>
      <c r="C174" s="13" t="inlineStr">
        <is>
          <t>HLD</t>
        </is>
      </c>
      <c r="D174" s="17" t="inlineStr">
        <is>
          <t>Advanced</t>
        </is>
      </c>
      <c r="E174" s="13" t="inlineStr">
        <is>
          <t>What is staleness in caching and how do you control it?</t>
        </is>
      </c>
      <c r="F174" s="13" t="inlineStr">
        <is>
          <t>Staleness is when the cache returns data that no longer matches the source. Control it with TTLs sized to how stale the data may be, explicit invalidation (delete the key on write), write-through updates, or event-driven invalidation via pub/sub or CDC. For HTTP, use Cache-Control max-age plus ETag revalidation. The trade-off is always freshness versus hit ratio and load on the source.</t>
        </is>
      </c>
      <c r="G174" s="13" t="inlineStr"/>
    </row>
    <row r="175">
      <c r="A175" s="13" t="n">
        <v>15</v>
      </c>
      <c r="B175" s="24" t="n">
        <v>46307</v>
      </c>
      <c r="C175" s="13" t="inlineStr">
        <is>
          <t>HLD</t>
        </is>
      </c>
      <c r="D175" s="17" t="inlineStr">
        <is>
          <t>Advanced</t>
        </is>
      </c>
      <c r="E175" s="13" t="inlineStr">
        <is>
          <t>What is a cache stampede and how do you prevent it?</t>
        </is>
      </c>
      <c r="F175" s="13" t="inlineStr">
        <is>
          <t>A cache stampede (thundering herd) happens when a hot key expires and many concurrent requests miss at once, all hitting the database to rebuild it, which can overload it. Prevent it with request coalescing or a per-key lock so only one caller rebuilds while others wait or get the stale value, adding random jitter to TTLs so keys do not expire together, and refreshing hot keys early (probabilistic early expiration or background refresh). HybridCache and similar libraries coalesce concurrent misses automatically.</t>
        </is>
      </c>
      <c r="G175" s="13" t="inlineStr"/>
    </row>
    <row r="176">
      <c r="A176" s="13" t="n">
        <v>15</v>
      </c>
      <c r="B176" s="24" t="n">
        <v>46307</v>
      </c>
      <c r="C176" s="13" t="inlineStr">
        <is>
          <t>LLD</t>
        </is>
      </c>
      <c r="D176" s="18" t="inlineStr">
        <is>
          <t>Basic</t>
        </is>
      </c>
      <c r="E176" s="13" t="inlineStr">
        <is>
          <t>What is an LRU cache?</t>
        </is>
      </c>
      <c r="F176" s="13" t="inlineStr">
        <is>
          <t>An LRU (Least Recently Used) cache holds a fixed number of items; when it is full and a new item is added, it evicts the item that was accessed least recently. It exploits temporal locality, the idea that recently used data is likely to be used again. Both get and put should run in O(1).</t>
        </is>
      </c>
      <c r="G176" s="13" t="inlineStr"/>
    </row>
    <row r="177">
      <c r="A177" s="13" t="n">
        <v>15</v>
      </c>
      <c r="B177" s="24" t="n">
        <v>46307</v>
      </c>
      <c r="C177" s="13" t="inlineStr">
        <is>
          <t>LLD</t>
        </is>
      </c>
      <c r="D177" s="18" t="inlineStr">
        <is>
          <t>Basic</t>
        </is>
      </c>
      <c r="E177" s="13" t="inlineStr">
        <is>
          <t>Why use a hash map plus a doubly linked list to implement LRU?</t>
        </is>
      </c>
      <c r="F177" s="13" t="inlineStr">
        <is>
          <t>The hash map gives O(1) lookup from key to node. The doubly linked list keeps items in recency order: move a node to the head on access and evict from the tail when full. Double links allow O(1) removal of a node from the middle because it knows its previous and next neighbours; neither structure alone provides O(1) for both lookup and ordering.</t>
        </is>
      </c>
      <c r="G177" s="13" t="inlineStr"/>
    </row>
    <row r="178">
      <c r="A178" s="13" t="n">
        <v>15</v>
      </c>
      <c r="B178" s="24" t="n">
        <v>46307</v>
      </c>
      <c r="C178" s="13" t="inlineStr">
        <is>
          <t>LLD</t>
        </is>
      </c>
      <c r="D178" s="16" t="inlineStr">
        <is>
          <t>Intermediate</t>
        </is>
      </c>
      <c r="E178" s="13" t="inlineStr">
        <is>
          <t>Implement the core of an LRU cache in C#.</t>
        </is>
      </c>
      <c r="F178" s="13" t="inlineStr">
        <is>
          <t>Store LinkedListNode references in the dictionary so moving and removing are O(1).
```csharp
public class LruCache&lt;K, V&gt;(int capacity) where K : notnull {
    private readonly Dictionary&lt;K, LinkedListNode&lt;(K Key, V Val)&gt;&gt; _map = new();
    private readonly LinkedList&lt;(K Key, V Val)&gt; _list = new();
    public bool TryGet(K key, out V val) {
        if (!_map.TryGetValue(key, out var n)) { val = default!; return false; }
        _list.Remove(n); _list.AddFirst(n); val = n.Value.Val; return true;
    }
    public void Put(K key, V val) {
        if (_map.TryGetValue(key, out var n)) _list.Remove(n);
        else if (_map.Count == capacity) { _map.Remove(_list.Last!.Value.Key); _list.RemoveLast(); }
        _map[key] = _list.AddFirst((key, val)); }
}
```</t>
        </is>
      </c>
      <c r="G178" s="13" t="inlineStr"/>
    </row>
    <row r="179">
      <c r="A179" s="13" t="n">
        <v>15</v>
      </c>
      <c r="B179" s="24" t="n">
        <v>46307</v>
      </c>
      <c r="C179" s="13" t="inlineStr">
        <is>
          <t>LLD</t>
        </is>
      </c>
      <c r="D179" s="16" t="inlineStr">
        <is>
          <t>Intermediate</t>
        </is>
      </c>
      <c r="E179" s="13" t="inlineStr">
        <is>
          <t>What is the difference between LRU, LFU and FIFO eviction?</t>
        </is>
      </c>
      <c r="F179" s="13" t="inlineStr">
        <is>
          <t>- FIFO evicts the oldest inserted item regardless of use; simple but ignores access patterns
- LRU evicts the item not accessed for the longest time; good default for recency-driven workloads
- LFU evicts the least frequently accessed item; better when some items stay popular long-term, but needs frequency tracking and aging so old hot items do not stay forever
Redis supports allkeys-lru, allkeys-lfu and volatile variants.</t>
        </is>
      </c>
      <c r="G179" s="13" t="inlineStr"/>
    </row>
    <row r="180">
      <c r="A180" s="13" t="n">
        <v>15</v>
      </c>
      <c r="B180" s="24" t="n">
        <v>46307</v>
      </c>
      <c r="C180" s="13" t="inlineStr">
        <is>
          <t>LLD</t>
        </is>
      </c>
      <c r="D180" s="17" t="inlineStr">
        <is>
          <t>Advanced</t>
        </is>
      </c>
      <c r="E180" s="13" t="inlineStr">
        <is>
          <t>How would you make the LRU cache thread-safe, and what are the trade-offs?</t>
        </is>
      </c>
      <c r="F180" s="13" t="inlineStr">
        <is>
          <t>The simplest correct approach is a single lock around Get and Put, because even a read mutates the list order, so a ReaderWriterLock does not help much. Under high contention, shard the cache into N segments by key hash, each with its own lock and capacity, so threads rarely collide. Production caches like Caffeine or MemoryCache use approximate LRU with buffered access recording to avoid locking on every read, trading exact ordering for throughput.</t>
        </is>
      </c>
      <c r="G180" s="13" t="inlineStr"/>
    </row>
    <row r="181">
      <c r="A181" s="13" t="n">
        <v>15</v>
      </c>
      <c r="B181" s="24" t="n">
        <v>46307</v>
      </c>
      <c r="C181" s="13" t="inlineStr">
        <is>
          <t>LLD</t>
        </is>
      </c>
      <c r="D181" s="17" t="inlineStr">
        <is>
          <t>Advanced</t>
        </is>
      </c>
      <c r="E181" s="13" t="inlineStr">
        <is>
          <t>How would you extend the LRU design to support per-item TTL expiry?</t>
        </is>
      </c>
      <c r="F181" s="13" t="inlineStr">
        <is>
          <t>Store an expiry timestamp in each node and check it on Get: if expired, remove it and treat it as a miss (lazy expiration). To reclaim memory from items never read again, run a periodic cleanup or keep a min-heap/priority queue by expiry time to evict expired items first before evicting by LRU order. Inject a clock (TimeProvider) so expiry logic is testable.</t>
        </is>
      </c>
      <c r="G181" s="13" t="inlineStr"/>
    </row>
    <row r="182">
      <c r="A182" s="13" t="n">
        <v>16</v>
      </c>
      <c r="B182" s="24" t="n">
        <v>46308</v>
      </c>
      <c r="C182" s="13" t="inlineStr">
        <is>
          <t>HLD</t>
        </is>
      </c>
      <c r="D182" s="18" t="inlineStr">
        <is>
          <t>Basic</t>
        </is>
      </c>
      <c r="E182" s="13" t="inlineStr">
        <is>
          <t>What is the cache-aside (lazy loading) pattern?</t>
        </is>
      </c>
      <c r="F182" s="13" t="inlineStr">
        <is>
          <t>The application checks the cache first; on a miss it reads from the database, writes the result into the cache and returns it. On writes it updates the database and deletes (or updates) the cache key. It is the most common pattern because the cache only holds data that is actually requested and a cache outage just degrades to DB reads. The downside is a slower first request and a window where stale data can be served.</t>
        </is>
      </c>
      <c r="G182" s="13" t="inlineStr"/>
    </row>
    <row r="183">
      <c r="A183" s="13" t="n">
        <v>16</v>
      </c>
      <c r="B183" s="24" t="n">
        <v>46308</v>
      </c>
      <c r="C183" s="13" t="inlineStr">
        <is>
          <t>HLD</t>
        </is>
      </c>
      <c r="D183" s="18" t="inlineStr">
        <is>
          <t>Basic</t>
        </is>
      </c>
      <c r="E183" s="13" t="inlineStr">
        <is>
          <t>What is the difference between write-through and write-back (write-behind) caching?</t>
        </is>
      </c>
      <c r="F183" s="13" t="inlineStr">
        <is>
          <t>In write-through, every write goes to the cache and the database synchronously, so the cache is always fresh but write latency is higher. In write-back, the write goes only to the cache and is flushed to the database later in batches, giving very fast writes. Write-back can lose data if the cache node crashes before flushing, so it suits counters or metrics, not payments.</t>
        </is>
      </c>
      <c r="G183" s="13" t="inlineStr"/>
    </row>
    <row r="184">
      <c r="A184" s="13" t="n">
        <v>16</v>
      </c>
      <c r="B184" s="24" t="n">
        <v>46308</v>
      </c>
      <c r="C184" s="13" t="inlineStr">
        <is>
          <t>HLD</t>
        </is>
      </c>
      <c r="D184" s="16" t="inlineStr">
        <is>
          <t>Intermediate</t>
        </is>
      </c>
      <c r="E184" s="13" t="inlineStr">
        <is>
          <t>How do TTL and eviction policies like LRU and LFU differ, and when would you choose each?</t>
        </is>
      </c>
      <c r="F184" s="13" t="inlineStr">
        <is>
          <t>TTL expires a key after a fixed time regardless of memory pressure; it bounds staleness. Eviction decides what to remove when memory is full.
- LRU evicts the least recently used key; good default for recency-driven access like sessions.
- LFU evicts the least frequently used key; better when a stable set of hot items exists (product catalog) and one-off scans should not flush them.
In Redis you set maxmemory-policy such as allkeys-lru or volatile-lfu, and usually combine it with TTLs.</t>
        </is>
      </c>
      <c r="G184" s="13" t="inlineStr"/>
    </row>
    <row r="185">
      <c r="A185" s="13" t="n">
        <v>16</v>
      </c>
      <c r="B185" s="24" t="n">
        <v>46308</v>
      </c>
      <c r="C185" s="13" t="inlineStr">
        <is>
          <t>HLD</t>
        </is>
      </c>
      <c r="D185" s="16" t="inlineStr">
        <is>
          <t>Intermediate</t>
        </is>
      </c>
      <c r="E185" s="13" t="inlineStr">
        <is>
          <t>Which caching strategy can lose data or serve stale data, and in what failure scenario?</t>
        </is>
      </c>
      <c r="F185" s="13" t="inlineStr">
        <is>
          <t>- Cache-aside: stale reads if the DB update succeeds but the cache delete fails, or a race writes an old value back after the delete.
- Write-through: little data loss, but if the DB write fails after the cache write you get a cache holding an uncommitted value unless you order and roll back carefully.
- Write-back: real data loss if the cache node dies before dirty entries are flushed.
- Write-around (write to DB only): no loss, but the next read is a miss.</t>
        </is>
      </c>
      <c r="G185" s="13" t="inlineStr"/>
    </row>
    <row r="186">
      <c r="A186" s="13" t="n">
        <v>16</v>
      </c>
      <c r="B186" s="24" t="n">
        <v>46308</v>
      </c>
      <c r="C186" s="13" t="inlineStr">
        <is>
          <t>HLD</t>
        </is>
      </c>
      <c r="D186" s="17" t="inlineStr">
        <is>
          <t>Advanced</t>
        </is>
      </c>
      <c r="E186" s="13" t="inlineStr">
        <is>
          <t>What is a cache stampede (thundering herd) and how do you prevent it?</t>
        </is>
      </c>
      <c r="F186" s="13" t="inlineStr">
        <is>
          <t>When a hot key expires, thousands of concurrent requests miss at once and all hit the database, which can take it down. Fixes:
- Mutex / single-flight: only one request recomputes (e.g. Redis SET NX lock) while others wait or serve stale.
- TTL jitter: add random seconds to TTLs so keys do not expire together.
- Probabilistic early refresh: refresh a key shortly before expiry in the background.
- Serve stale while revalidating, and pre-warm hot keys after deploys.</t>
        </is>
      </c>
      <c r="G186" s="13" t="inlineStr"/>
    </row>
    <row r="187">
      <c r="A187" s="13" t="n">
        <v>16</v>
      </c>
      <c r="B187" s="24" t="n">
        <v>46308</v>
      </c>
      <c r="C187" s="13" t="inlineStr">
        <is>
          <t>HLD</t>
        </is>
      </c>
      <c r="D187" s="17" t="inlineStr">
        <is>
          <t>Advanced</t>
        </is>
      </c>
      <c r="E187" s="13" t="inlineStr">
        <is>
          <t>How would you keep a Redis cache and SQL database consistent under concurrent updates in a cache-aside setup?</t>
        </is>
      </c>
      <c r="F187" s="13" t="inlineStr">
        <is>
          <t>Update the DB first, then delete the key (not update it), because concurrent updates setting values can land out of order. To close the race where a slow reader writes an old value after the delete, use a short TTL as a safety net, a delayed double delete, or versioned values (only write if version is newer). For stronger guarantees, drive invalidation from the DB change stream (CDC/outbox) so a missed delete is retried. Accept that cache-aside gives eventual consistency and keep TTLs short for sensitive data.</t>
        </is>
      </c>
      <c r="G187" s="13" t="inlineStr"/>
    </row>
    <row r="188">
      <c r="A188" s="13" t="n">
        <v>16</v>
      </c>
      <c r="B188" s="24" t="n">
        <v>46308</v>
      </c>
      <c r="C188" s="13" t="inlineStr">
        <is>
          <t>LLD</t>
        </is>
      </c>
      <c r="D188" s="18" t="inlineStr">
        <is>
          <t>Basic</t>
        </is>
      </c>
      <c r="E188" s="13" t="inlineStr">
        <is>
          <t>What is the Decorator pattern?</t>
        </is>
      </c>
      <c r="F188" s="13" t="inlineStr">
        <is>
          <t>Decorator wraps an object that implements an interface with another object implementing the same interface, adding behaviour before or after delegating to the inner one. It lets you add responsibilities such as caching, logging or retries without modifying the original class or using inheritance. Decorators can be stacked, and callers are unaware they are talking to a wrapper. It is a direct application of the Open/Closed Principle.</t>
        </is>
      </c>
      <c r="G188" s="13" t="inlineStr"/>
    </row>
    <row r="189">
      <c r="A189" s="13" t="n">
        <v>16</v>
      </c>
      <c r="B189" s="24" t="n">
        <v>46308</v>
      </c>
      <c r="C189" s="13" t="inlineStr">
        <is>
          <t>LLD</t>
        </is>
      </c>
      <c r="D189" s="18" t="inlineStr">
        <is>
          <t>Basic</t>
        </is>
      </c>
      <c r="E189" s="13" t="inlineStr">
        <is>
          <t>How is Decorator different from inheritance for adding behaviour?</t>
        </is>
      </c>
      <c r="F189" s="13" t="inlineStr">
        <is>
          <t>Inheritance adds behaviour at compile time and leads to a class explosion when you need combinations (CachedLoggedRepo, LoggedRetryRepo, ...). Decorator composes behaviour at runtime, so N decorators give any combination by stacking. It also works on sealed classes and third-party types since it only needs the interface. The cost is more small objects and slightly harder debugging of the call chain.</t>
        </is>
      </c>
      <c r="G189" s="13" t="inlineStr"/>
    </row>
    <row r="190">
      <c r="A190" s="13" t="n">
        <v>16</v>
      </c>
      <c r="B190" s="24" t="n">
        <v>46308</v>
      </c>
      <c r="C190" s="13" t="inlineStr">
        <is>
          <t>LLD</t>
        </is>
      </c>
      <c r="D190" s="16" t="inlineStr">
        <is>
          <t>Intermediate</t>
        </is>
      </c>
      <c r="E190" s="13" t="inlineStr">
        <is>
          <t>Implement a caching decorator for an IProductRepository in C#.</t>
        </is>
      </c>
      <c r="F190" s="13" t="inlineStr">
        <is>
          <t>Wrap the real repository and check an IMemoryCache first:
```csharp
public class CachedProductRepository : IProductRepository {
    private readonly IProductRepository _inner; private readonly IMemoryCache _cache;
    public CachedProductRepository(IProductRepository inner, IMemoryCache cache)
        { _inner = inner; _cache = cache; }
    public async Task&lt;Product?&gt; GetAsync(int id) =&gt;
        await _cache.GetOrCreateAsync($"product:{id}", e =&gt; {
            e.AbsoluteExpirationRelativeToNow = TimeSpan.FromMinutes(5);
            return _inner.GetAsync(id); });
    public async Task UpdateAsync(Product p) {
        await _inner.UpdateAsync(p); _cache.Remove($"product:{p.Id}"); }
}
```
Writes go to the inner repository first and then invalidate the key.</t>
        </is>
      </c>
      <c r="G190" s="13" t="inlineStr"/>
    </row>
    <row r="191">
      <c r="A191" s="13" t="n">
        <v>16</v>
      </c>
      <c r="B191" s="24" t="n">
        <v>46308</v>
      </c>
      <c r="C191" s="13" t="inlineStr">
        <is>
          <t>LLD</t>
        </is>
      </c>
      <c r="D191" s="16" t="inlineStr">
        <is>
          <t>Intermediate</t>
        </is>
      </c>
      <c r="E191" s="13" t="inlineStr">
        <is>
          <t>How do you register a decorator with ASP.NET Core dependency injection?</t>
        </is>
      </c>
      <c r="F191" s="13" t="inlineStr">
        <is>
          <t>The built-in container has no native decorate method, so you register the concrete inner type and then register the interface with a factory that wraps it: services.AddScoped&lt;SqlProductRepository&gt;(); services.AddScoped&lt;IProductRepository&gt;(sp =&gt; new CachedProductRepository(sp.GetRequiredService&lt;SqlProductRepository&gt;(), sp.GetRequiredService&lt;IMemoryCache&gt;())). Alternatively use Scrutor's services.Decorate&lt;IProductRepository, CachedProductRepository&gt;(). Make sure lifetimes are compatible, for example a singleton decorator must not capture a scoped DbContext.</t>
        </is>
      </c>
      <c r="G191" s="13" t="inlineStr"/>
    </row>
    <row r="192">
      <c r="A192" s="13" t="n">
        <v>16</v>
      </c>
      <c r="B192" s="24" t="n">
        <v>46308</v>
      </c>
      <c r="C192" s="13" t="inlineStr">
        <is>
          <t>LLD</t>
        </is>
      </c>
      <c r="D192" s="17" t="inlineStr">
        <is>
          <t>Advanced</t>
        </is>
      </c>
      <c r="E192" s="13" t="inlineStr">
        <is>
          <t>When stacking decorators (caching, logging, retry), does order matter? Give an example.</t>
        </is>
      </c>
      <c r="F192" s="13" t="inlineStr">
        <is>
          <t>Yes, each decorator wraps the next so order changes behaviour. If Logging wraps Caching, you log every call including cache hits; if Caching wraps Logging, only misses reach the logger. Retry should sit inside Caching (closest to the real call) so you retry the DB call, not a cache lookup, and a circuit breaker usually goes between retry and the real call. Document the composition in one place, typically the DI registration.</t>
        </is>
      </c>
      <c r="G192" s="13" t="inlineStr"/>
    </row>
    <row r="193">
      <c r="A193" s="13" t="n">
        <v>16</v>
      </c>
      <c r="B193" s="24" t="n">
        <v>46308</v>
      </c>
      <c r="C193" s="13" t="inlineStr">
        <is>
          <t>LLD</t>
        </is>
      </c>
      <c r="D193" s="17" t="inlineStr">
        <is>
          <t>Advanced</t>
        </is>
      </c>
      <c r="E193" s="13" t="inlineStr">
        <is>
          <t>Decorator vs Proxy vs Adapter: how do you tell them apart in an interview?</t>
        </is>
      </c>
      <c r="F193" s="13" t="inlineStr">
        <is>
          <t>- Decorator: same interface, adds behaviour, usually stackable and composed by the client.
- Proxy: same interface, controls access to the real object (lazy loading, remote call, authorization, caching) and often manages its lifecycle.
- Adapter: different interface, converts one interface into another the client expects.
Structurally Decorator and Proxy look identical; the difference is intent: enrich behaviour versus control access.</t>
        </is>
      </c>
      <c r="G193" s="13" t="inlineStr"/>
    </row>
    <row r="194">
      <c r="A194" s="13" t="n">
        <v>17</v>
      </c>
      <c r="B194" s="24" t="n">
        <v>46309</v>
      </c>
      <c r="C194" s="13" t="inlineStr">
        <is>
          <t>HLD</t>
        </is>
      </c>
      <c r="D194" s="18" t="inlineStr">
        <is>
          <t>Basic</t>
        </is>
      </c>
      <c r="E194" s="13" t="inlineStr">
        <is>
          <t>What is a CDN and why use one?</t>
        </is>
      </c>
      <c r="F194" s="13" t="inlineStr">
        <is>
          <t>A Content Delivery Network is a set of geographically distributed edge servers (PoPs) that cache content close to users. It reduces latency, offloads traffic from the origin, absorbs traffic spikes and provides DDoS protection and TLS termination at the edge. Typical content is images, JS/CSS, videos and downloadable files; examples are CloudFront, Akamai and Cloudflare.</t>
        </is>
      </c>
      <c r="G194" s="13" t="inlineStr"/>
    </row>
    <row r="195">
      <c r="A195" s="13" t="n">
        <v>17</v>
      </c>
      <c r="B195" s="24" t="n">
        <v>46309</v>
      </c>
      <c r="C195" s="13" t="inlineStr">
        <is>
          <t>HLD</t>
        </is>
      </c>
      <c r="D195" s="18" t="inlineStr">
        <is>
          <t>Basic</t>
        </is>
      </c>
      <c r="E195" s="13" t="inlineStr">
        <is>
          <t>What is the difference between a push CDN and a pull CDN?</t>
        </is>
      </c>
      <c r="F195" s="13" t="inlineStr">
        <is>
          <t>In a pull CDN the edge fetches content from the origin on the first request (cache miss) and caches it for the TTL; it is easy to operate and suits sites with lots of content and unpredictable access. In a push CDN you upload content to the CDN proactively whenever it changes; it suits large, rarely changing files like video or software releases and gives you control over what lives at the edge. Most web apps use pull.</t>
        </is>
      </c>
      <c r="G195" s="13" t="inlineStr"/>
    </row>
    <row r="196">
      <c r="A196" s="13" t="n">
        <v>17</v>
      </c>
      <c r="B196" s="24" t="n">
        <v>46309</v>
      </c>
      <c r="C196" s="13" t="inlineStr">
        <is>
          <t>HLD</t>
        </is>
      </c>
      <c r="D196" s="16" t="inlineStr">
        <is>
          <t>Intermediate</t>
        </is>
      </c>
      <c r="E196" s="13" t="inlineStr">
        <is>
          <t>What is a CDN cache key and why does it matter?</t>
        </is>
      </c>
      <c r="F196" s="13" t="inlineStr">
        <is>
          <t>The cache key is what the edge uses to decide if two requests are the same object, by default host plus path, optionally query string, headers and cookies. Including too much (e.g. all cookies or a tracking query param) fragments the cache and kills the hit ratio. Including too little can serve the wrong variant, e.g. the wrong language or a logged-in page to another user. Keep keys minimal and vary only on what really changes the response.</t>
        </is>
      </c>
      <c r="G196" s="13" t="inlineStr"/>
    </row>
    <row r="197">
      <c r="A197" s="13" t="n">
        <v>17</v>
      </c>
      <c r="B197" s="24" t="n">
        <v>46309</v>
      </c>
      <c r="C197" s="13" t="inlineStr">
        <is>
          <t>HLD</t>
        </is>
      </c>
      <c r="D197" s="16" t="inlineStr">
        <is>
          <t>Intermediate</t>
        </is>
      </c>
      <c r="E197" s="13" t="inlineStr">
        <is>
          <t>How do you invalidate content cached on a CDN?</t>
        </is>
      </c>
      <c r="F197" s="13" t="inlineStr">
        <is>
          <t>- Explicit invalidation/purge API (CloudFront invalidations) for a path or wildcard; it is slow to propagate and may cost money.
- Short TTLs with Cache-Control max-age and s-maxage.
- Best practice: versioned or fingerprinted file names (app.3f9a1c.js) with very long TTLs, so a deploy just references new URLs and nothing needs purging.
HTML entry pages get short TTLs while hashed assets are cached for a year as immutable.</t>
        </is>
      </c>
      <c r="G197" s="13" t="inlineStr"/>
    </row>
    <row r="198">
      <c r="A198" s="13" t="n">
        <v>17</v>
      </c>
      <c r="B198" s="24" t="n">
        <v>46309</v>
      </c>
      <c r="C198" s="13" t="inlineStr">
        <is>
          <t>HLD</t>
        </is>
      </c>
      <c r="D198" s="17" t="inlineStr">
        <is>
          <t>Advanced</t>
        </is>
      </c>
      <c r="E198" s="13" t="inlineStr">
        <is>
          <t>Can a CDN cache dynamic or API responses? What are the risks?</t>
        </is>
      </c>
      <c r="F198" s="13" t="inlineStr">
        <is>
          <t>Yes, if the response is the same for many users, such as a product listing or public config, you can cache it with short TTLs (seconds) and stale-while-revalidate. Personalized responses must not be cached, or must be keyed by user, and must send Cache-Control: private or no-store; a mistake here leaks one user's data to another. Edges can also do request collapsing so only one request per key goes to origin. Edge compute (Lambda@Edge, CloudFront Functions) can assemble semi-dynamic content.</t>
        </is>
      </c>
      <c r="G198" s="13" t="inlineStr"/>
    </row>
    <row r="199">
      <c r="A199" s="13" t="n">
        <v>17</v>
      </c>
      <c r="B199" s="24" t="n">
        <v>46309</v>
      </c>
      <c r="C199" s="13" t="inlineStr">
        <is>
          <t>HLD</t>
        </is>
      </c>
      <c r="D199" s="17" t="inlineStr">
        <is>
          <t>Advanced</t>
        </is>
      </c>
      <c r="E199" s="13" t="inlineStr">
        <is>
          <t>How do you protect the origin behind a CDN and handle a cold cache after a deploy?</t>
        </is>
      </c>
      <c r="F199" s="13" t="inlineStr">
        <is>
          <t>Restrict the origin so only the CDN can reach it: S3 with Origin Access Control, or a secret header / IP allowlist for an ALB. Use an origin shield (a regional mid-tier cache) so many edges share one fetch. After a deploy or purge, pre-warm popular URLs and rely on request collapsing so the origin is not flooded. Set sensible error caching and serve stale on origin errors to stay up if the origin fails.</t>
        </is>
      </c>
      <c r="G199" s="13" t="inlineStr"/>
    </row>
    <row r="200">
      <c r="A200" s="13" t="n">
        <v>17</v>
      </c>
      <c r="B200" s="24" t="n">
        <v>46309</v>
      </c>
      <c r="C200" s="13" t="inlineStr">
        <is>
          <t>LLD</t>
        </is>
      </c>
      <c r="D200" s="18" t="inlineStr">
        <is>
          <t>Basic</t>
        </is>
      </c>
      <c r="E200" s="13" t="inlineStr">
        <is>
          <t>What is the Proxy pattern?</t>
        </is>
      </c>
      <c r="F200" s="13" t="inlineStr">
        <is>
          <t>A proxy is an object with the same interface as a real subject that stands in front of it and controls access to it. The client talks to the proxy exactly as it would to the real object. Common reasons are lazy creation, access control, remote communication, caching and logging.</t>
        </is>
      </c>
      <c r="G200" s="13" t="inlineStr"/>
    </row>
    <row r="201">
      <c r="A201" s="13" t="n">
        <v>17</v>
      </c>
      <c r="B201" s="24" t="n">
        <v>46309</v>
      </c>
      <c r="C201" s="13" t="inlineStr">
        <is>
          <t>LLD</t>
        </is>
      </c>
      <c r="D201" s="18" t="inlineStr">
        <is>
          <t>Basic</t>
        </is>
      </c>
      <c r="E201" s="13" t="inlineStr">
        <is>
          <t>Name the common types of proxies with examples.</t>
        </is>
      </c>
      <c r="F201" s="13" t="inlineStr">
        <is>
          <t>- Virtual proxy: delays creating an expensive object until needed (Lazy&lt;T&gt;, EF Core lazy-loading proxies).
- Protection proxy: checks permissions before forwarding.
- Remote proxy: represents an object in another process (gRPC or WCF client stubs, typed HttpClient).
- Caching proxy: returns stored results for repeated calls.
- Smart reference: counts references or logs access.</t>
        </is>
      </c>
      <c r="G201" s="13" t="inlineStr"/>
    </row>
    <row r="202">
      <c r="A202" s="13" t="n">
        <v>17</v>
      </c>
      <c r="B202" s="24" t="n">
        <v>46309</v>
      </c>
      <c r="C202" s="13" t="inlineStr">
        <is>
          <t>LLD</t>
        </is>
      </c>
      <c r="D202" s="16" t="inlineStr">
        <is>
          <t>Intermediate</t>
        </is>
      </c>
      <c r="E202" s="13" t="inlineStr">
        <is>
          <t>Write a protection proxy in C# that checks a user's role before deleting a document.</t>
        </is>
      </c>
      <c r="F202" s="13" t="inlineStr">
        <is>
          <t>```csharp
public class SecureDocumentService : IDocumentService {
    private readonly IDocumentService _real; private readonly ICurrentUser _user;
    public SecureDocumentService(IDocumentService real, ICurrentUser user)
        { _real = real; _user = user; }
    public Document Get(int id) =&gt; _real.Get(id);
    public void Delete(int id) {
        if (!_user.IsInRole("Admin"))
            throw new UnauthorizedAccessException();
        _real.Delete(id);
    }
}
```
The client depends on IDocumentService and does not know a proxy is in place.</t>
        </is>
      </c>
      <c r="G202" s="13" t="inlineStr"/>
    </row>
    <row r="203">
      <c r="A203" s="13" t="n">
        <v>17</v>
      </c>
      <c r="B203" s="24" t="n">
        <v>46309</v>
      </c>
      <c r="C203" s="13" t="inlineStr">
        <is>
          <t>LLD</t>
        </is>
      </c>
      <c r="D203" s="16" t="inlineStr">
        <is>
          <t>Intermediate</t>
        </is>
      </c>
      <c r="E203" s="13" t="inlineStr">
        <is>
          <t>How does Lazy&lt;T&gt; relate to the virtual proxy idea?</t>
        </is>
      </c>
      <c r="F203" s="13" t="inlineStr">
        <is>
          <t>Lazy&lt;T&gt; defers creating an expensive object until .Value is first accessed and then reuses it, which is exactly what a virtual proxy does. By default it is thread-safe (LazyThreadSafetyMode.ExecutionAndPublication) so only one thread runs the factory. A full virtual proxy goes further by implementing the subject's interface so callers are unaware of laziness, as EF Core's lazy-loading proxies do for navigation properties.</t>
        </is>
      </c>
      <c r="G203" s="13" t="inlineStr"/>
    </row>
    <row r="204">
      <c r="A204" s="13" t="n">
        <v>17</v>
      </c>
      <c r="B204" s="24" t="n">
        <v>46309</v>
      </c>
      <c r="C204" s="13" t="inlineStr">
        <is>
          <t>LLD</t>
        </is>
      </c>
      <c r="D204" s="17" t="inlineStr">
        <is>
          <t>Advanced</t>
        </is>
      </c>
      <c r="E204" s="13" t="inlineStr">
        <is>
          <t>Where do you see the Proxy pattern in .NET frameworks?</t>
        </is>
      </c>
      <c r="F204" s="13" t="inlineStr">
        <is>
          <t>- EF Core lazy-loading proxies subclass entities to load navigation properties on first access.
- Castle DynamicProxy (used by Moq and interception libraries) generates proxies at runtime for AOP concerns like logging or transactions.
- DispatchProxy in System.Reflection creates interface proxies at runtime.
- gRPC generated clients and Refit typed HTTP clients are remote proxies.
- YARP is a reverse proxy at the network level, the same idea at infrastructure scale.</t>
        </is>
      </c>
      <c r="G204" s="13" t="inlineStr"/>
    </row>
    <row r="205">
      <c r="A205" s="13" t="n">
        <v>17</v>
      </c>
      <c r="B205" s="24" t="n">
        <v>46309</v>
      </c>
      <c r="C205" s="13" t="inlineStr">
        <is>
          <t>LLD</t>
        </is>
      </c>
      <c r="D205" s="17" t="inlineStr">
        <is>
          <t>Advanced</t>
        </is>
      </c>
      <c r="E205" s="13" t="inlineStr">
        <is>
          <t>How would you build a generic logging proxy for any interface without writing a class per interface?</t>
        </is>
      </c>
      <c r="F205" s="13" t="inlineStr">
        <is>
          <t>Use System.Reflection.DispatchProxy: derive from DispatchProxy, override Invoke(MethodInfo, object[]) to log, time and forward the call to the wrapped target via targetMethod.Invoke, then create it with DispatchProxy.Create&lt;IService, LoggingProxy&lt;IService&gt;&gt;(). Handle async methods by inspecting whether the return is a Task and attaching a continuation. Trade-offs: reflection overhead and harder debugging; source generators or Castle DynamicProxy are alternatives.</t>
        </is>
      </c>
      <c r="G205" s="13" t="inlineStr"/>
    </row>
    <row r="206">
      <c r="A206" s="13" t="n">
        <v>18</v>
      </c>
      <c r="B206" s="24" t="n">
        <v>46310</v>
      </c>
      <c r="C206" s="13" t="inlineStr">
        <is>
          <t>HLD</t>
        </is>
      </c>
      <c r="D206" s="18" t="inlineStr">
        <is>
          <t>Basic</t>
        </is>
      </c>
      <c r="E206" s="13" t="inlineStr">
        <is>
          <t>What is the difference between strong and eventual consistency?</t>
        </is>
      </c>
      <c r="F206" s="13" t="inlineStr">
        <is>
          <t>With strong consistency every read returns the result of the latest completed write, as if there were a single copy of the data. With eventual consistency replicas may return stale values for a while but converge to the same value if no new writes arrive. Strong consistency costs latency and availability because nodes must coordinate; eventual consistency gives low latency and high availability.</t>
        </is>
      </c>
      <c r="G206" s="13" t="inlineStr"/>
    </row>
    <row r="207">
      <c r="A207" s="13" t="n">
        <v>18</v>
      </c>
      <c r="B207" s="24" t="n">
        <v>46310</v>
      </c>
      <c r="C207" s="13" t="inlineStr">
        <is>
          <t>HLD</t>
        </is>
      </c>
      <c r="D207" s="18" t="inlineStr">
        <is>
          <t>Basic</t>
        </is>
      </c>
      <c r="E207" s="13" t="inlineStr">
        <is>
          <t>Give examples of where you would use strong versus eventual consistency.</t>
        </is>
      </c>
      <c r="F207" s="13" t="inlineStr">
        <is>
          <t>Strong: bank balances, inventory decrement at checkout, seat booking, unique username registration, anything where acting on stale data causes real harm. Eventual: like counts, view counters, news feeds, product reviews, search indexes and analytics dashboards. Many systems mix both, e.g. strongly consistent orders but an eventually consistent order-history read model.</t>
        </is>
      </c>
      <c r="G207" s="13" t="inlineStr"/>
    </row>
    <row r="208">
      <c r="A208" s="13" t="n">
        <v>18</v>
      </c>
      <c r="B208" s="24" t="n">
        <v>46310</v>
      </c>
      <c r="C208" s="13" t="inlineStr">
        <is>
          <t>HLD</t>
        </is>
      </c>
      <c r="D208" s="16" t="inlineStr">
        <is>
          <t>Intermediate</t>
        </is>
      </c>
      <c r="E208" s="13" t="inlineStr">
        <is>
          <t>When the underlying data is updated, should you delete the cache key or update it? Why?</t>
        </is>
      </c>
      <c r="F208" s="13" t="inlineStr">
        <is>
          <t>Deleting is usually preferred. If two writers update the cache concurrently, their set operations can arrive out of order and leave the older value in the cache indefinitely; a delete is idempotent and the next read repopulates from the source of truth. Updating also wastes work computing values that may never be read. Update-in-place makes sense only when the value is cheap and writes are serialized, such as a single writer or versioned writes.</t>
        </is>
      </c>
      <c r="G208" s="13" t="inlineStr"/>
    </row>
    <row r="209">
      <c r="A209" s="13" t="n">
        <v>18</v>
      </c>
      <c r="B209" s="24" t="n">
        <v>46310</v>
      </c>
      <c r="C209" s="13" t="inlineStr">
        <is>
          <t>HLD</t>
        </is>
      </c>
      <c r="D209" s="16" t="inlineStr">
        <is>
          <t>Intermediate</t>
        </is>
      </c>
      <c r="E209" s="13" t="inlineStr">
        <is>
          <t>What is read-your-own-writes consistency and how do you provide it?</t>
        </is>
      </c>
      <c r="F209" s="13" t="inlineStr">
        <is>
          <t>It guarantees a user always sees their own updates, even if other users see them later. Techniques:
- Route that user's reads to the primary for a short time after a write.
- Track the write's log position or timestamp and only read from replicas that have caught up.
- Update or invalidate the user's cache entry synchronously on write.
- Return the new state in the write response so the client shows it directly.</t>
        </is>
      </c>
      <c r="G209" s="13" t="inlineStr"/>
    </row>
    <row r="210">
      <c r="A210" s="13" t="n">
        <v>18</v>
      </c>
      <c r="B210" s="24" t="n">
        <v>46310</v>
      </c>
      <c r="C210" s="13" t="inlineStr">
        <is>
          <t>HLD</t>
        </is>
      </c>
      <c r="D210" s="17" t="inlineStr">
        <is>
          <t>Advanced</t>
        </is>
      </c>
      <c r="E210" s="13" t="inlineStr">
        <is>
          <t>What consistency models sit between strong and eventual?</t>
        </is>
      </c>
      <c r="F210" s="13" t="inlineStr">
        <is>
          <t>- Linearizable: strongest, real-time ordering of all operations.
- Sequential: all nodes see the same order, not necessarily real-time.
- Causal: operations that are causally related are seen in order by everyone (a reply after its post).
- Session guarantees: read-your-writes, monotonic reads (never go back in time), monotonic writes.
Databases like Cosmos DB expose these as tunable levels (strong, bounded staleness, session, consistent prefix, eventual).</t>
        </is>
      </c>
      <c r="G210" s="13" t="inlineStr"/>
    </row>
    <row r="211">
      <c r="A211" s="13" t="n">
        <v>18</v>
      </c>
      <c r="B211" s="24" t="n">
        <v>46310</v>
      </c>
      <c r="C211" s="13" t="inlineStr">
        <is>
          <t>HLD</t>
        </is>
      </c>
      <c r="D211" s="17" t="inlineStr">
        <is>
          <t>Advanced</t>
        </is>
      </c>
      <c r="E211" s="13" t="inlineStr">
        <is>
          <t>How do quorum reads and writes provide consistency in a replicated store?</t>
        </is>
      </c>
      <c r="F211" s="13" t="inlineStr">
        <is>
          <t>With N replicas, a write waits for W acknowledgements and a read queries R replicas. If R + W &gt; N, the read and write sets overlap, so at least one replica in every read has the latest write and the client picks the newest version. Typical is N=3, W=2, R=2. Lowering W or R improves latency and availability but allows stale reads; Cassandra and DynamoDB expose this as tunable consistency levels.</t>
        </is>
      </c>
      <c r="G211" s="13" t="inlineStr"/>
    </row>
    <row r="212">
      <c r="A212" s="13" t="n">
        <v>18</v>
      </c>
      <c r="B212" s="24" t="n">
        <v>46310</v>
      </c>
      <c r="C212" s="13" t="inlineStr">
        <is>
          <t>LLD</t>
        </is>
      </c>
      <c r="D212" s="18" t="inlineStr">
        <is>
          <t>Basic</t>
        </is>
      </c>
      <c r="E212" s="13" t="inlineStr">
        <is>
          <t>What is the Observer pattern?</t>
        </is>
      </c>
      <c r="F212" s="13" t="inlineStr">
        <is>
          <t>Observer defines a one-to-many dependency: a subject keeps a list of observers and notifies all of them when its state changes. Observers subscribe and unsubscribe at runtime, and the subject knows them only through an interface, so they are loosely coupled. Typical uses are UI events, cache invalidation on update and domain events.</t>
        </is>
      </c>
      <c r="G212" s="13" t="inlineStr"/>
    </row>
    <row r="213">
      <c r="A213" s="13" t="n">
        <v>18</v>
      </c>
      <c r="B213" s="24" t="n">
        <v>46310</v>
      </c>
      <c r="C213" s="13" t="inlineStr">
        <is>
          <t>LLD</t>
        </is>
      </c>
      <c r="D213" s="18" t="inlineStr">
        <is>
          <t>Basic</t>
        </is>
      </c>
      <c r="E213" s="13" t="inlineStr">
        <is>
          <t>How does C# support the Observer pattern natively?</t>
        </is>
      </c>
      <c r="F213" s="13" t="inlineStr">
        <is>
          <t>C# events and delegates are the language-level implementation: the publisher declares public event EventHandler&lt;T&gt; Changed; subscribers attach with += and detach with -=, and the publisher raises it with Changed?.Invoke(this, args). .NET also has IObservable&lt;T&gt;/IObserver&lt;T&gt; for push-based streams, which Reactive Extensions (Rx.NET) builds on. For in-process domain events, libraries like MediatR notifications are commonly used.</t>
        </is>
      </c>
      <c r="G213" s="13" t="inlineStr"/>
    </row>
    <row r="214">
      <c r="A214" s="13" t="n">
        <v>18</v>
      </c>
      <c r="B214" s="24" t="n">
        <v>46310</v>
      </c>
      <c r="C214" s="13" t="inlineStr">
        <is>
          <t>LLD</t>
        </is>
      </c>
      <c r="D214" s="16" t="inlineStr">
        <is>
          <t>Intermediate</t>
        </is>
      </c>
      <c r="E214" s="13" t="inlineStr">
        <is>
          <t>Implement a product repository that notifies observers so caches can invalidate on update.</t>
        </is>
      </c>
      <c r="F214" s="13" t="inlineStr">
        <is>
          <t>```csharp
public interface IProductObserver { void OnProductChanged(int id); }
public class ProductRepository {
    private readonly List&lt;IProductObserver&gt; _observers = new();
    public void Subscribe(IProductObserver o) =&gt; _observers.Add(o);
    public void Unsubscribe(IProductObserver o) =&gt; _observers.Remove(o);
    public void Update(Product p) {
        SaveToDb(p);
        foreach (var o in _observers) o.OnProductChanged(p.Id);
    }
}
public class CacheInvalidator(IMemoryCache c) : IProductObserver {
    public void OnProductChanged(int id) =&gt; c.Remove($"product:{id}"); }
```
New reactions (search reindex, audit) are added as observers without touching the repository.</t>
        </is>
      </c>
      <c r="G214" s="13" t="inlineStr"/>
    </row>
    <row r="215">
      <c r="A215" s="13" t="n">
        <v>18</v>
      </c>
      <c r="B215" s="24" t="n">
        <v>46310</v>
      </c>
      <c r="C215" s="13" t="inlineStr">
        <is>
          <t>LLD</t>
        </is>
      </c>
      <c r="D215" s="16" t="inlineStr">
        <is>
          <t>Intermediate</t>
        </is>
      </c>
      <c r="E215" s="13" t="inlineStr">
        <is>
          <t>What memory leak can the Observer pattern cause in .NET and how do you avoid it?</t>
        </is>
      </c>
      <c r="F215" s="13" t="inlineStr">
        <is>
          <t>The subject holds strong references to subscribers through its delegate list, so a short-lived subscriber attached to a long-lived publisher (static or singleton) is never garbage collected. Fixes: always unsubscribe with -= (implement IDisposable and detach in Dispose), return an IDisposable subscription token as IObservable does, or use weak event patterns such as WeakEventManager. This is a classic cause of growing memory in long-running services.</t>
        </is>
      </c>
      <c r="G215" s="13" t="inlineStr"/>
    </row>
    <row r="216">
      <c r="A216" s="13" t="n">
        <v>18</v>
      </c>
      <c r="B216" s="24" t="n">
        <v>46310</v>
      </c>
      <c r="C216" s="13" t="inlineStr">
        <is>
          <t>LLD</t>
        </is>
      </c>
      <c r="D216" s="17" t="inlineStr">
        <is>
          <t>Advanced</t>
        </is>
      </c>
      <c r="E216" s="13" t="inlineStr">
        <is>
          <t>What problems arise when one observer throws or is slow, and how do you design around them?</t>
        </is>
      </c>
      <c r="F216" s="13" t="inlineStr">
        <is>
          <t>With synchronous notification, an exception in one observer stops the others from being notified and may fail the original operation, and a slow observer blocks the publisher. Mitigations: wrap each observer call in try/catch and log, notify asynchronously via a queue or Channel, make observers idempotent, and decide whether notifications are best-effort or must be guaranteed. For guaranteed cross-service notifications, use an outbox plus a message broker instead of in-memory observers.</t>
        </is>
      </c>
      <c r="G216" s="13" t="inlineStr"/>
    </row>
    <row r="217">
      <c r="A217" s="13" t="n">
        <v>18</v>
      </c>
      <c r="B217" s="24" t="n">
        <v>46310</v>
      </c>
      <c r="C217" s="13" t="inlineStr">
        <is>
          <t>LLD</t>
        </is>
      </c>
      <c r="D217" s="17" t="inlineStr">
        <is>
          <t>Advanced</t>
        </is>
      </c>
      <c r="E217" s="13" t="inlineStr">
        <is>
          <t>Observer vs Pub/Sub: what is the difference?</t>
        </is>
      </c>
      <c r="F217" s="13" t="inlineStr">
        <is>
          <t>In Observer the subject knows its observers (through an interface) and calls them directly, usually synchronously and in-process. In Pub/Sub publishers and subscribers do not know each other; a broker or event bus sits in the middle, routes by topic and can deliver asynchronously and across processes. Pub/Sub adds decoupling, buffering and scalability at the cost of infrastructure and eventual delivery. Observer is fine inside one component; Pub/Sub for cross-service events.</t>
        </is>
      </c>
      <c r="G217" s="13" t="inlineStr"/>
    </row>
    <row r="218">
      <c r="A218" s="13" t="n">
        <v>19</v>
      </c>
      <c r="B218" s="24" t="n">
        <v>46311</v>
      </c>
      <c r="C218" s="13" t="inlineStr">
        <is>
          <t>HLD</t>
        </is>
      </c>
      <c r="D218" s="18" t="inlineStr">
        <is>
          <t>Basic</t>
        </is>
      </c>
      <c r="E218" s="13" t="inlineStr">
        <is>
          <t>Why do we need rate limiting?</t>
        </is>
      </c>
      <c r="F218" s="13" t="inlineStr">
        <is>
          <t>Rate limiting caps how many requests a client can make in a time window. It protects services from overload and abuse (brute-force logins, scrapers, DDoS), ensures fair usage between tenants, controls cost of expensive downstream calls and enforces paid API tiers. Rejected requests typically get HTTP 429 Too Many Requests.</t>
        </is>
      </c>
      <c r="G218" s="13" t="inlineStr"/>
    </row>
    <row r="219">
      <c r="A219" s="13" t="n">
        <v>19</v>
      </c>
      <c r="B219" s="24" t="n">
        <v>46311</v>
      </c>
      <c r="C219" s="13" t="inlineStr">
        <is>
          <t>HLD</t>
        </is>
      </c>
      <c r="D219" s="18" t="inlineStr">
        <is>
          <t>Basic</t>
        </is>
      </c>
      <c r="E219" s="13" t="inlineStr">
        <is>
          <t>How does the token bucket algorithm work?</t>
        </is>
      </c>
      <c r="F219" s="13" t="inlineStr">
        <is>
          <t>A bucket holds up to a capacity of tokens and is refilled at a fixed rate (e.g. 10 tokens per second). Each request consumes a token; if the bucket is empty the request is rejected or delayed. Because tokens accumulate up to capacity, it allows short bursts while enforcing the average rate. It needs only two values per client: token count and last refill time.</t>
        </is>
      </c>
      <c r="G219" s="13" t="inlineStr"/>
    </row>
    <row r="220">
      <c r="A220" s="13" t="n">
        <v>19</v>
      </c>
      <c r="B220" s="24" t="n">
        <v>46311</v>
      </c>
      <c r="C220" s="13" t="inlineStr">
        <is>
          <t>HLD</t>
        </is>
      </c>
      <c r="D220" s="16" t="inlineStr">
        <is>
          <t>Intermediate</t>
        </is>
      </c>
      <c r="E220" s="13" t="inlineStr">
        <is>
          <t>Compare token bucket and leaky bucket.</t>
        </is>
      </c>
      <c r="F220" s="13" t="inlineStr">
        <is>
          <t>Token bucket allows bursts up to bucket capacity and limits the average rate; it is the common choice for APIs (AWS API Gateway, Stripe). Leaky bucket queues requests and processes them at a constant rate, smoothing output; bursts are queued or dropped if the queue is full. Use leaky bucket when a downstream needs a steady rate, such as a payment provider or SMS gateway; use token bucket when short bursts are acceptable.</t>
        </is>
      </c>
      <c r="G220" s="13" t="inlineStr"/>
    </row>
    <row r="221">
      <c r="A221" s="13" t="n">
        <v>19</v>
      </c>
      <c r="B221" s="24" t="n">
        <v>46311</v>
      </c>
      <c r="C221" s="13" t="inlineStr">
        <is>
          <t>HLD</t>
        </is>
      </c>
      <c r="D221" s="16" t="inlineStr">
        <is>
          <t>Intermediate</t>
        </is>
      </c>
      <c r="E221" s="13" t="inlineStr">
        <is>
          <t>Compare fixed window, sliding window log and sliding window counter.</t>
        </is>
      </c>
      <c r="F221" s="13" t="inlineStr">
        <is>
          <t>- Fixed window: count per clock window (per minute); simple but allows up to 2x the limit at window boundaries.
- Sliding window log: store the timestamp of every request and count those in the last N seconds; exact but memory-heavy.
- Sliding window counter: combine current and previous window counts weighted by overlap, e.g. current + previous * (1 - elapsed fraction); close to exact with O(1) memory. This hybrid is the usual production choice.</t>
        </is>
      </c>
      <c r="G221" s="13" t="inlineStr"/>
    </row>
    <row r="222">
      <c r="A222" s="13" t="n">
        <v>19</v>
      </c>
      <c r="B222" s="24" t="n">
        <v>46311</v>
      </c>
      <c r="C222" s="13" t="inlineStr">
        <is>
          <t>HLD</t>
        </is>
      </c>
      <c r="D222" s="17" t="inlineStr">
        <is>
          <t>Advanced</t>
        </is>
      </c>
      <c r="E222" s="13" t="inlineStr">
        <is>
          <t>Where should rate limiting be enforced, and what key should you limit on?</t>
        </is>
      </c>
      <c r="F222" s="13" t="inlineStr">
        <is>
          <t>Enforce coarse limits at the edge (CDN/WAF, API gateway) to reject abuse cheaply, and fine-grained business limits in the service (e.g. 5 OTPs per phone per hour). Keys can be user ID or API key for authenticated traffic, IP for anonymous traffic (careful with NAT and shared corporate IPs), and endpoint for expensive routes. Often multiple limits combine: global, per tenant, per user and per endpoint.</t>
        </is>
      </c>
      <c r="G222" s="13" t="inlineStr"/>
    </row>
    <row r="223">
      <c r="A223" s="13" t="n">
        <v>19</v>
      </c>
      <c r="B223" s="24" t="n">
        <v>46311</v>
      </c>
      <c r="C223" s="13" t="inlineStr">
        <is>
          <t>HLD</t>
        </is>
      </c>
      <c r="D223" s="17" t="inlineStr">
        <is>
          <t>Advanced</t>
        </is>
      </c>
      <c r="E223" s="13" t="inlineStr">
        <is>
          <t>How do you rate limit when your service runs on many instances?</t>
        </is>
      </c>
      <c r="F223" s="13" t="inlineStr">
        <is>
          <t>Local in-memory limits per instance multiply the effective limit by the instance count and break with uneven load balancing. Use a shared store such as Redis with atomic operations (INCR with EXPIRE, or a Lua script for token bucket) so all instances see the same counter. To reduce latency, you can keep local token buckets that periodically sync or take batches of tokens from Redis, accepting slight inaccuracy. Decide fail-open vs fail-closed if Redis is unavailable.</t>
        </is>
      </c>
      <c r="G223" s="13" t="inlineStr"/>
    </row>
    <row r="224">
      <c r="A224" s="13" t="n">
        <v>19</v>
      </c>
      <c r="B224" s="24" t="n">
        <v>46311</v>
      </c>
      <c r="C224" s="13" t="inlineStr">
        <is>
          <t>LLD</t>
        </is>
      </c>
      <c r="D224" s="18" t="inlineStr">
        <is>
          <t>Basic</t>
        </is>
      </c>
      <c r="E224" s="13" t="inlineStr">
        <is>
          <t>What interface would you define for a RateLimiter class?</t>
        </is>
      </c>
      <c r="F224" s="13" t="inlineStr">
        <is>
          <t>Keep it minimal and algorithm-agnostic, for example: public interface IRateLimiter { bool TryAcquire(string clientKey); } or an async version returning a result with Allowed and RetryAfter. Concrete classes (TokenBucketLimiter, SlidingWindowLimiter) implement it, and the algorithm is chosen via Strategy/DI. Depend on an IClock abstraction instead of DateTime.UtcNow so it is testable.</t>
        </is>
      </c>
      <c r="G224" s="13" t="inlineStr"/>
    </row>
    <row r="225">
      <c r="A225" s="13" t="n">
        <v>19</v>
      </c>
      <c r="B225" s="24" t="n">
        <v>46311</v>
      </c>
      <c r="C225" s="13" t="inlineStr">
        <is>
          <t>LLD</t>
        </is>
      </c>
      <c r="D225" s="18" t="inlineStr">
        <is>
          <t>Basic</t>
        </is>
      </c>
      <c r="E225" s="13" t="inlineStr">
        <is>
          <t>What state does each rate limiting algorithm need per client?</t>
        </is>
      </c>
      <c r="F225" s="13" t="inlineStr">
        <is>
          <t>- Token bucket: current token count and last refill timestamp.
- Leaky bucket: a queue (or water level) and last leak time.
- Fixed window: counter and window start.
- Sliding window log: a queue of request timestamps.
- Sliding window counter: current and previous window counts plus window start.
Store it in a ConcurrentDictionary&lt;string, TState&gt; keyed by client.</t>
        </is>
      </c>
      <c r="G225" s="13" t="inlineStr"/>
    </row>
    <row r="226">
      <c r="A226" s="13" t="n">
        <v>19</v>
      </c>
      <c r="B226" s="24" t="n">
        <v>46311</v>
      </c>
      <c r="C226" s="13" t="inlineStr">
        <is>
          <t>LLD</t>
        </is>
      </c>
      <c r="D226" s="16" t="inlineStr">
        <is>
          <t>Intermediate</t>
        </is>
      </c>
      <c r="E226" s="13" t="inlineStr">
        <is>
          <t>Implement a fixed-window rate limiter class in C#.</t>
        </is>
      </c>
      <c r="F226" s="13" t="inlineStr">
        <is>
          <t>```csharp
public class FixedWindowLimiter(int limit, TimeSpan window, IClock clock) : IRateLimiter {
    private class Window { public DateTime Start; public int Count; }
    private readonly ConcurrentDictionary&lt;string, Window&gt; _windows = new();
    public bool TryAcquire(string key) {
        var w = _windows.GetOrAdd(key, _ =&gt; new Window { Start = clock.UtcNow });
        lock (w) {
            var now = clock.UtcNow;
            if (now - w.Start &gt;= window) { w.Start = now; w.Count = 0; }
            if (w.Count &gt;= limit) return false;
            w.Count++; return true;
        } }
}
```
The lock is per client, so different clients never block each other.</t>
        </is>
      </c>
      <c r="G226" s="13" t="inlineStr"/>
    </row>
    <row r="227">
      <c r="A227" s="13" t="n">
        <v>19</v>
      </c>
      <c r="B227" s="24" t="n">
        <v>46311</v>
      </c>
      <c r="C227" s="13" t="inlineStr">
        <is>
          <t>LLD</t>
        </is>
      </c>
      <c r="D227" s="16" t="inlineStr">
        <is>
          <t>Intermediate</t>
        </is>
      </c>
      <c r="E227" s="13" t="inlineStr">
        <is>
          <t>How do you make a rate limiter thread-safe in C#?</t>
        </is>
      </c>
      <c r="F227" s="13" t="inlineStr">
        <is>
          <t>Use a ConcurrentDictionary for the per-client map so lookups and inserts are safe. For the per-client state, either lock on a per-client state object (simple and correct), or use immutable state with AddOrUpdate / compare-and-swap via Interlocked.CompareExchange. Avoid a single global lock, which serializes all clients. Also clean up idle keys periodically to avoid unbounded memory growth.</t>
        </is>
      </c>
      <c r="G227" s="13" t="inlineStr"/>
    </row>
    <row r="228">
      <c r="A228" s="13" t="n">
        <v>19</v>
      </c>
      <c r="B228" s="24" t="n">
        <v>46311</v>
      </c>
      <c r="C228" s="13" t="inlineStr">
        <is>
          <t>LLD</t>
        </is>
      </c>
      <c r="D228" s="17" t="inlineStr">
        <is>
          <t>Advanced</t>
        </is>
      </c>
      <c r="E228" s="13" t="inlineStr">
        <is>
          <t>What does .NET provide out of the box for rate limiting?</t>
        </is>
      </c>
      <c r="F228" s="13" t="inlineStr">
        <is>
          <t>Since .NET 7, System.Threading.RateLimiting provides FixedWindowRateLimiter, SlidingWindowRateLimiter, TokenBucketRateLimiter and ConcurrencyLimiter, plus PartitionedRateLimiter to limit per key. ASP.NET Core adds middleware: builder.Services.AddRateLimiter(o =&gt; o.AddTokenBucketLimiter("api", ...)) and app.UseRateLimiter(), with [EnableRateLimiting("api")] on endpoints and a configurable RejectionStatusCode (429). These are in-process only; for distributed limits you still need Redis.</t>
        </is>
      </c>
      <c r="G228" s="13" t="inlineStr"/>
    </row>
    <row r="229">
      <c r="A229" s="13" t="n">
        <v>19</v>
      </c>
      <c r="B229" s="24" t="n">
        <v>46311</v>
      </c>
      <c r="C229" s="13" t="inlineStr">
        <is>
          <t>LLD</t>
        </is>
      </c>
      <c r="D229" s="17" t="inlineStr">
        <is>
          <t>Advanced</t>
        </is>
      </c>
      <c r="E229" s="13" t="inlineStr">
        <is>
          <t>How would you design the RateLimiter classes so rules are configurable per endpoint and per tier?</t>
        </is>
      </c>
      <c r="F229" s="13" t="inlineStr">
        <is>
          <t>Separate concerns: a RateLimitRule (limit, window, algorithm) loaded from config; a key resolver strategy (by user, API key, IP); a limiter factory that creates the right IRateLimiter for a rule; and a storage abstraction (in-memory or Redis) so algorithms work locally or distributed. A RateLimitMiddleware resolves the rule for the route and tier, builds the key, calls TryAcquire and returns 429 with Retry-After. This follows Strategy for algorithms and Open/Closed for adding new ones.</t>
        </is>
      </c>
      <c r="G229" s="13" t="inlineStr"/>
    </row>
    <row r="230">
      <c r="A230" s="13" t="n">
        <v>20</v>
      </c>
      <c r="B230" s="24" t="n">
        <v>46312</v>
      </c>
      <c r="C230" s="13" t="inlineStr">
        <is>
          <t>HLD</t>
        </is>
      </c>
      <c r="D230" s="18" t="inlineStr">
        <is>
          <t>Basic</t>
        </is>
      </c>
      <c r="E230" s="13" t="inlineStr">
        <is>
          <t>What are the functional and non-functional requirements of a distributed rate limiter?</t>
        </is>
      </c>
      <c r="F230" s="13" t="inlineStr">
        <is>
          <t>Functional: limit requests per user, API key or IP according to configurable rules, return 429 when exceeded and tell the client when to retry. Non-functional: very low added latency (a few ms), high availability (the limiter must not take the API down), accuracy across many servers, scale to millions of keys, and observability of rejections.</t>
        </is>
      </c>
      <c r="G230" s="13" t="inlineStr"/>
    </row>
    <row r="231">
      <c r="A231" s="13" t="n">
        <v>20</v>
      </c>
      <c r="B231" s="24" t="n">
        <v>46312</v>
      </c>
      <c r="C231" s="13" t="inlineStr">
        <is>
          <t>HLD</t>
        </is>
      </c>
      <c r="D231" s="18" t="inlineStr">
        <is>
          <t>Basic</t>
        </is>
      </c>
      <c r="E231" s="13" t="inlineStr">
        <is>
          <t>What should an API return when a client is rate limited?</t>
        </is>
      </c>
      <c r="F231" s="13" t="inlineStr">
        <is>
          <t>HTTP 429 Too Many Requests with a Retry-After header (seconds or an HTTP date) telling the client when to try again. Also useful are informational headers such as X-RateLimit-Limit, X-RateLimit-Remaining and X-RateLimit-Reset (or the standard RateLimit headers draft) on every response. Clients should back off with exponential backoff and jitter instead of hammering the endpoint.</t>
        </is>
      </c>
      <c r="G231" s="13" t="inlineStr"/>
    </row>
    <row r="232">
      <c r="A232" s="13" t="n">
        <v>20</v>
      </c>
      <c r="B232" s="24" t="n">
        <v>46312</v>
      </c>
      <c r="C232" s="13" t="inlineStr">
        <is>
          <t>HLD</t>
        </is>
      </c>
      <c r="D232" s="16" t="inlineStr">
        <is>
          <t>Intermediate</t>
        </is>
      </c>
      <c r="E232" s="13" t="inlineStr">
        <is>
          <t>How do you implement a rate limiter with Redis counters?</t>
        </is>
      </c>
      <c r="F232" s="13" t="inlineStr">
        <is>
          <t>For a fixed window, build a key like rl:{userId}:{minute}, run INCR and, if the result is 1, set EXPIRE to the window length; reject if the count exceeds the limit. For a sliding window log, use a sorted set: ZADD the timestamp, ZREMRANGEBYSCORE to drop old entries, ZCARD to count. Keys expire on their own so memory stays bounded. Redis is fast (sub-millisecond) and shared by all API instances.</t>
        </is>
      </c>
      <c r="G232" s="13" t="inlineStr"/>
    </row>
    <row r="233">
      <c r="A233" s="13" t="n">
        <v>20</v>
      </c>
      <c r="B233" s="24" t="n">
        <v>46312</v>
      </c>
      <c r="C233" s="13" t="inlineStr">
        <is>
          <t>HLD</t>
        </is>
      </c>
      <c r="D233" s="16" t="inlineStr">
        <is>
          <t>Intermediate</t>
        </is>
      </c>
      <c r="E233" s="13" t="inlineStr">
        <is>
          <t>Why use a Lua script in Redis for rate limiting?</t>
        </is>
      </c>
      <c r="F233" s="13" t="inlineStr">
        <is>
          <t>Operations like read tokens, compute refill, decrement and write back are several commands; run separately from many servers they race and allow more requests than the limit (check-then-act problem). A Lua script executes atomically on the Redis server, so the whole read-modify-write happens as one step, with a single network round trip. MULTI/EXEC cannot branch on intermediate results, which is why Lua is preferred for token bucket.</t>
        </is>
      </c>
      <c r="G233" s="13" t="inlineStr"/>
    </row>
    <row r="234">
      <c r="A234" s="13" t="n">
        <v>20</v>
      </c>
      <c r="B234" s="24" t="n">
        <v>46312</v>
      </c>
      <c r="C234" s="13" t="inlineStr">
        <is>
          <t>HLD</t>
        </is>
      </c>
      <c r="D234" s="17" t="inlineStr">
        <is>
          <t>Advanced</t>
        </is>
      </c>
      <c r="E234" s="13" t="inlineStr">
        <is>
          <t>Draw the end-to-end architecture of a rate limiter for a large API.</t>
        </is>
      </c>
      <c r="F234" s="13" t="inlineStr">
        <is>
          <t>- Client -&gt; CDN/WAF (coarse IP limits) -&gt; API gateway or middleware that calls the rate limiter.
- Rules service/config stored in a DB and cached in memory on every node, refreshed periodically.
- Redis cluster holding counters, sharded by key, with replicas; atomic Lua scripts.
- Allowed requests go to backend services; rejected ones get 429 + Retry-After.
- Metrics and logs of rejections to monitoring; optionally a queue to defer non-urgent requests instead of dropping them.</t>
        </is>
      </c>
      <c r="G234" s="13" t="inlineStr"/>
    </row>
    <row r="235">
      <c r="A235" s="13" t="n">
        <v>20</v>
      </c>
      <c r="B235" s="24" t="n">
        <v>46312</v>
      </c>
      <c r="C235" s="13" t="inlineStr">
        <is>
          <t>HLD</t>
        </is>
      </c>
      <c r="D235" s="17" t="inlineStr">
        <is>
          <t>Advanced</t>
        </is>
      </c>
      <c r="E235" s="13" t="inlineStr">
        <is>
          <t>What happens if Redis is down or slow, and how do you handle multi-region rate limiting?</t>
        </is>
      </c>
      <c r="F235" s="13" t="inlineStr">
        <is>
          <t>Choose fail-open (allow requests, protect availability) for most APIs, or fail-closed for security-critical limits like login attempts, and use a short timeout plus a circuit breaker with a local in-memory fallback limiter. For multiple regions, keep counters local per region and accept that a global limit is approximated (for example split the quota per region), or asynchronously sync counts. Cross-region synchronous checks add too much latency, so exactness is traded for speed.</t>
        </is>
      </c>
      <c r="G235" s="13" t="inlineStr"/>
    </row>
    <row r="236">
      <c r="A236" s="13" t="n">
        <v>20</v>
      </c>
      <c r="B236" s="24" t="n">
        <v>46312</v>
      </c>
      <c r="C236" s="13" t="inlineStr">
        <is>
          <t>LLD</t>
        </is>
      </c>
      <c r="D236" s="18" t="inlineStr">
        <is>
          <t>Basic</t>
        </is>
      </c>
      <c r="E236" s="13" t="inlineStr">
        <is>
          <t>What does a TokenBucket class need as fields and methods?</t>
        </is>
      </c>
      <c r="F236" s="13" t="inlineStr">
        <is>
          <t>Fields: capacity, refill rate (tokens per second), current tokens (double), last refill time, a lock object and an injected clock. Methods: a private Refill() that adds elapsed * rate tokens capped at capacity and updates the timestamp, and a public TryConsume(int tokens = 1) that refills then consumes if enough tokens exist. Start the bucket full so the first burst is allowed.</t>
        </is>
      </c>
      <c r="G236" s="13" t="inlineStr"/>
    </row>
    <row r="237">
      <c r="A237" s="13" t="n">
        <v>20</v>
      </c>
      <c r="B237" s="24" t="n">
        <v>46312</v>
      </c>
      <c r="C237" s="13" t="inlineStr">
        <is>
          <t>LLD</t>
        </is>
      </c>
      <c r="D237" s="18" t="inlineStr">
        <is>
          <t>Basic</t>
        </is>
      </c>
      <c r="E237" s="13" t="inlineStr">
        <is>
          <t>Why inject a clock (IClock or TimeProvider) into a rate limiter?</t>
        </is>
      </c>
      <c r="F237" s="13" t="inlineStr">
        <is>
          <t>Rate limiting depends on time; if the class calls DateTime.UtcNow directly, tests must sleep, which makes them slow and flaky. Injecting an abstraction lets tests advance time deterministically. .NET 8 ships TimeProvider with FakeTimeProvider in Microsoft.Extensions.TimeProvider.Testing for exactly this. It also follows the Dependency Inversion Principle.</t>
        </is>
      </c>
      <c r="G237" s="13" t="inlineStr"/>
    </row>
    <row r="238">
      <c r="A238" s="13" t="n">
        <v>20</v>
      </c>
      <c r="B238" s="24" t="n">
        <v>46312</v>
      </c>
      <c r="C238" s="13" t="inlineStr">
        <is>
          <t>LLD</t>
        </is>
      </c>
      <c r="D238" s="16" t="inlineStr">
        <is>
          <t>Intermediate</t>
        </is>
      </c>
      <c r="E238" s="13" t="inlineStr">
        <is>
          <t>Implement a thread-safe token bucket in C#.</t>
        </is>
      </c>
      <c r="F238" s="13" t="inlineStr">
        <is>
          <t>```csharp
public class TokenBucket {
    private readonly double _capacity, _ratePerSec; private readonly TimeProvider _time;
    private double _tokens; private long _last; private readonly object _lock = new();
    public TokenBucket(double capacity, double ratePerSec, TimeProvider time) {
        _capacity = _tokens = capacity; _ratePerSec = ratePerSec; _time = time;
        _last = time.GetTimestamp(); }
    public bool TryConsume(int n = 1) { lock (_lock) {
        var now = _time.GetTimestamp();
        _tokens = Math.Min(_capacity, _tokens + _time.GetElapsedTime(_last, now).TotalSeconds * _ratePerSec);
        _last = now;
        if (_tokens &lt; n) return false; _tokens -= n; return true; } }
}
```</t>
        </is>
      </c>
      <c r="G238" s="13" t="inlineStr"/>
    </row>
    <row r="239">
      <c r="A239" s="13" t="n">
        <v>20</v>
      </c>
      <c r="B239" s="24" t="n">
        <v>46312</v>
      </c>
      <c r="C239" s="13" t="inlineStr">
        <is>
          <t>LLD</t>
        </is>
      </c>
      <c r="D239" s="16" t="inlineStr">
        <is>
          <t>Intermediate</t>
        </is>
      </c>
      <c r="E239" s="13" t="inlineStr">
        <is>
          <t>Which unit tests would you write for a token bucket?</t>
        </is>
      </c>
      <c r="F239" s="13" t="inlineStr">
        <is>
          <t>- Allows up to capacity requests immediately, then rejects the next one.
- After advancing the fake clock by 1/rate seconds, exactly one more request is allowed.
- Tokens never exceed capacity after a long idle period.
- Consuming more tokens than available fails and does not change the count.
- Constructor rejects invalid arguments (zero or negative capacity/rate).
- A concurrency test: N parallel TryConsume calls allow exactly capacity successes.</t>
        </is>
      </c>
      <c r="G239" s="13" t="inlineStr"/>
    </row>
    <row r="240">
      <c r="A240" s="13" t="n">
        <v>20</v>
      </c>
      <c r="B240" s="24" t="n">
        <v>46312</v>
      </c>
      <c r="C240" s="13" t="inlineStr">
        <is>
          <t>LLD</t>
        </is>
      </c>
      <c r="D240" s="17" t="inlineStr">
        <is>
          <t>Advanced</t>
        </is>
      </c>
      <c r="E240" s="13" t="inlineStr">
        <is>
          <t>Write an xUnit test that verifies refill using a fake clock.</t>
        </is>
      </c>
      <c r="F240" s="13" t="inlineStr">
        <is>
          <t>```csharp
[Fact]
public void Refills_after_time_passes() {
    var clock = new FakeTimeProvider();
    var bucket = new TokenBucket(capacity: 2, ratePerSec: 1, clock);
    Assert.True(bucket.TryConsume());
    Assert.True(bucket.TryConsume());
    Assert.False(bucket.TryConsume());
    clock.Advance(TimeSpan.FromSeconds(1));
    Assert.True(bucket.TryConsume());
    Assert.False(bucket.TryConsume());
}
```
No Thread.Sleep, so the test is fast and deterministic.</t>
        </is>
      </c>
      <c r="G240" s="13" t="inlineStr"/>
    </row>
    <row r="241">
      <c r="A241" s="13" t="n">
        <v>20</v>
      </c>
      <c r="B241" s="24" t="n">
        <v>46312</v>
      </c>
      <c r="C241" s="13" t="inlineStr">
        <is>
          <t>LLD</t>
        </is>
      </c>
      <c r="D241" s="17" t="inlineStr">
        <is>
          <t>Advanced</t>
        </is>
      </c>
      <c r="E241" s="13" t="inlineStr">
        <is>
          <t>How would you test the token bucket for thread-safety, and what could go wrong without the lock?</t>
        </is>
      </c>
      <c r="F241" s="13" t="inlineStr">
        <is>
          <t>Start with capacity N and no refill (frozen fake clock), run many parallel TryConsume calls with Parallel.For or Task.WhenAll, count successes with Interlocked.Increment and assert exactly N succeeded. Without the lock, two threads can read the same token count, both see enough tokens and both decrement, so more than N requests pass (lost update), and doubles are not updated atomically. Repeat the test many iterations because race conditions are nondeterministic.</t>
        </is>
      </c>
      <c r="G241" s="13" t="inlineStr"/>
    </row>
    <row r="242">
      <c r="A242" s="13" t="n">
        <v>21</v>
      </c>
      <c r="B242" s="24" t="n">
        <v>46313</v>
      </c>
      <c r="C242" s="13" t="inlineStr">
        <is>
          <t>HLD</t>
        </is>
      </c>
      <c r="D242" s="18" t="inlineStr">
        <is>
          <t>Basic</t>
        </is>
      </c>
      <c r="E242" s="13" t="inlineStr">
        <is>
          <t>Rapid fire: what should and should not be cached?</t>
        </is>
      </c>
      <c r="F242" s="13" t="inlineStr">
        <is>
          <t>Cache data that is read often, changes rarely and is expensive to compute or fetch: product details, config, user profiles, rendered pages, aggregated results. Avoid caching highly volatile data, data needing strict consistency (balances), large rarely-read blobs and personalized data in shared caches without per-user keys. Always set a TTL and know the source of truth.</t>
        </is>
      </c>
      <c r="G242" s="13" t="inlineStr"/>
    </row>
    <row r="243">
      <c r="A243" s="13" t="n">
        <v>21</v>
      </c>
      <c r="B243" s="24" t="n">
        <v>46313</v>
      </c>
      <c r="C243" s="13" t="inlineStr">
        <is>
          <t>HLD</t>
        </is>
      </c>
      <c r="D243" s="18" t="inlineStr">
        <is>
          <t>Basic</t>
        </is>
      </c>
      <c r="E243" s="13" t="inlineStr">
        <is>
          <t>Rapid fire: list the caching layers from client to database.</t>
        </is>
      </c>
      <c r="F243" s="13" t="inlineStr">
        <is>
          <t>Browser cache (Cache-Control, ETag) -&gt; CDN edge -&gt; API gateway/reverse proxy cache -&gt; in-process app memory (IMemoryCache) -&gt; distributed cache (Redis) -&gt; database buffer pool. Each layer closer to the user saves more latency but is harder to invalidate. Hit ratio = hits / (hits + misses), and each layer's misses fall through to the next.</t>
        </is>
      </c>
      <c r="G243" s="13" t="inlineStr"/>
    </row>
    <row r="244">
      <c r="A244" s="13" t="n">
        <v>21</v>
      </c>
      <c r="B244" s="24" t="n">
        <v>46313</v>
      </c>
      <c r="C244" s="13" t="inlineStr">
        <is>
          <t>HLD</t>
        </is>
      </c>
      <c r="D244" s="16" t="inlineStr">
        <is>
          <t>Intermediate</t>
        </is>
      </c>
      <c r="E244" s="13" t="inlineStr">
        <is>
          <t>Explain cache invalidation out loud: what are your options and trade-offs?</t>
        </is>
      </c>
      <c r="F244" s="13" t="inlineStr">
        <is>
          <t>- TTL expiry: simple, bounded staleness, no coordination.
- Delete on write (cache-aside): fresh after update, small race windows.
- Write-through: cache updated with every write, higher write latency.
- Event-driven invalidation via CDC or pub/sub: works across services and multiple caches, eventually consistent.
- Versioned keys or URLs: never invalidate, just change the key (best for CDN assets).
In an interview, combine delete-on-write with a TTL as a safety net.</t>
        </is>
      </c>
      <c r="G244" s="13" t="inlineStr"/>
    </row>
    <row r="245">
      <c r="A245" s="13" t="n">
        <v>21</v>
      </c>
      <c r="B245" s="24" t="n">
        <v>46313</v>
      </c>
      <c r="C245" s="13" t="inlineStr">
        <is>
          <t>HLD</t>
        </is>
      </c>
      <c r="D245" s="16" t="inlineStr">
        <is>
          <t>Intermediate</t>
        </is>
      </c>
      <c r="E245" s="13" t="inlineStr">
        <is>
          <t>Rapid fire: how do CDN caching and application caching differ?</t>
        </is>
      </c>
      <c r="F245" s="13" t="inlineStr">
        <is>
          <t>A CDN caches whole HTTP responses at edge locations near users, controlled by HTTP headers (Cache-Control, s-maxage) and invalidated by purge or versioned URLs; best for static and public content. An application cache (in-memory or Redis) stores objects or query results close to the service, controlled in code, and can hold per-user or computed data. They complement each other: CDN cuts network latency, app cache cuts database load.</t>
        </is>
      </c>
      <c r="G245" s="13" t="inlineStr"/>
    </row>
    <row r="246">
      <c r="A246" s="13" t="n">
        <v>21</v>
      </c>
      <c r="B246" s="24" t="n">
        <v>46313</v>
      </c>
      <c r="C246" s="13" t="inlineStr">
        <is>
          <t>HLD</t>
        </is>
      </c>
      <c r="D246" s="17" t="inlineStr">
        <is>
          <t>Advanced</t>
        </is>
      </c>
      <c r="E246" s="13" t="inlineStr">
        <is>
          <t>A user updates their profile but still sees old data. Walk through possible causes across the stack.</t>
        </is>
      </c>
      <c r="F246" s="13" t="inlineStr">
        <is>
          <t>- Browser cache served an old response due to long max-age.
- CDN cached the API response or page with a user-agnostic cache key.
- App cache key was not deleted, or a race re-populated it with the old value.
- Read went to a lagging replica (no read-your-own-writes).
- Another service's local cache did not receive the invalidation event.
Fix by checking each layer's headers and TTLs and adding read-your-writes for the author.</t>
        </is>
      </c>
      <c r="G246" s="13" t="inlineStr"/>
    </row>
    <row r="247">
      <c r="A247" s="13" t="n">
        <v>21</v>
      </c>
      <c r="B247" s="24" t="n">
        <v>46313</v>
      </c>
      <c r="C247" s="13" t="inlineStr">
        <is>
          <t>HLD</t>
        </is>
      </c>
      <c r="D247" s="17" t="inlineStr">
        <is>
          <t>Advanced</t>
        </is>
      </c>
      <c r="E247" s="13" t="inlineStr">
        <is>
          <t>Rapid fire: CAP, strong vs eventual consistency, and where caching fits in.</t>
        </is>
      </c>
      <c r="F247" s="13" t="inlineStr">
        <is>
          <t>CAP says during a network partition you choose consistency or availability; caches are effectively AP replicas of the database, so any cache introduces eventual consistency unless you bypass it for critical reads. Strong consistency needs coordination (quorums, single leader); eventual consistency trades freshness for latency and availability. Pick per use case: balances and inventory read from the primary, feeds and product pages from cache.</t>
        </is>
      </c>
      <c r="G247" s="13" t="inlineStr"/>
    </row>
    <row r="248">
      <c r="A248" s="13" t="n">
        <v>21</v>
      </c>
      <c r="B248" s="24" t="n">
        <v>46313</v>
      </c>
      <c r="C248" s="13" t="inlineStr">
        <is>
          <t>LLD</t>
        </is>
      </c>
      <c r="D248" s="18" t="inlineStr">
        <is>
          <t>Basic</t>
        </is>
      </c>
      <c r="E248" s="13" t="inlineStr">
        <is>
          <t>Rapid fire: what data structures make an LRU cache O(1), and why both?</t>
        </is>
      </c>
      <c r="F248" s="13" t="inlineStr">
        <is>
          <t>A hash map from key to a node gives O(1) lookup, and a doubly linked list ordered by recency gives O(1) move-to-front and remove-from-tail. The map alone cannot track order; the list alone cannot find keys fast. The doubly linked list is needed so a node can unlink itself using its prev pointer. In C#: Dictionary&lt;TKey, LinkedListNode&lt;Entry&gt;&gt; plus LinkedList&lt;Entry&gt;.</t>
        </is>
      </c>
      <c r="G248" s="13" t="inlineStr"/>
    </row>
    <row r="249">
      <c r="A249" s="13" t="n">
        <v>21</v>
      </c>
      <c r="B249" s="24" t="n">
        <v>46313</v>
      </c>
      <c r="C249" s="13" t="inlineStr">
        <is>
          <t>LLD</t>
        </is>
      </c>
      <c r="D249" s="18" t="inlineStr">
        <is>
          <t>Basic</t>
        </is>
      </c>
      <c r="E249" s="13" t="inlineStr">
        <is>
          <t>Rapid fire: one line each on Decorator, Proxy and Observer.</t>
        </is>
      </c>
      <c r="F249" s="13" t="inlineStr">
        <is>
          <t>- Decorator: wraps an object with the same interface to add behaviour, stackable (caching repository).
- Proxy: same interface, controls access to the real object (lazy loading, security, remote).
- Observer: a subject notifies subscribed observers when its state changes (cache invalidation on update).</t>
        </is>
      </c>
      <c r="G249" s="13" t="inlineStr"/>
    </row>
    <row r="250">
      <c r="A250" s="13" t="n">
        <v>21</v>
      </c>
      <c r="B250" s="24" t="n">
        <v>46313</v>
      </c>
      <c r="C250" s="13" t="inlineStr">
        <is>
          <t>LLD</t>
        </is>
      </c>
      <c r="D250" s="16" t="inlineStr">
        <is>
          <t>Intermediate</t>
        </is>
      </c>
      <c r="E250" s="13" t="inlineStr">
        <is>
          <t>Write the Get method of an LRU cache in C#.</t>
        </is>
      </c>
      <c r="F250" s="13" t="inlineStr">
        <is>
          <t>```csharp
public bool TryGet(TKey key, out TValue value) {
    if (_map.TryGetValue(key, out var node)) {
        _list.Remove(node);        // O(1) with the node reference
        _list.AddFirst(node);      // mark as most recently used
        value = node.Value.Value;
        return true;
    }
    value = default!;
    return false;
}
```
Put adds at the front and, when over capacity, removes _list.Last and its key from the map.</t>
        </is>
      </c>
      <c r="G250" s="13" t="inlineStr"/>
    </row>
    <row r="251">
      <c r="A251" s="13" t="n">
        <v>21</v>
      </c>
      <c r="B251" s="24" t="n">
        <v>46313</v>
      </c>
      <c r="C251" s="13" t="inlineStr">
        <is>
          <t>LLD</t>
        </is>
      </c>
      <c r="D251" s="16" t="inlineStr">
        <is>
          <t>Intermediate</t>
        </is>
      </c>
      <c r="E251" s="13" t="inlineStr">
        <is>
          <t>How would you make the LRU cache thread-safe, and what is the trade-off?</t>
        </is>
      </c>
      <c r="F251" s="13" t="inlineStr">
        <is>
          <t>The simplest correct approach is a single lock around Get and Put, because even Get mutates the list order, so a ReaderWriterLockSlim does not help much. This serializes access and can bottleneck under heavy load. Alternatives: shard the cache into N segments each with its own lock (hash the key to pick a segment), or use approximate LRU like MemoryCache or Redis does to avoid strict ordering on every read.</t>
        </is>
      </c>
      <c r="G251" s="13" t="inlineStr"/>
    </row>
    <row r="252">
      <c r="A252" s="13" t="n">
        <v>21</v>
      </c>
      <c r="B252" s="24" t="n">
        <v>46313</v>
      </c>
      <c r="C252" s="13" t="inlineStr">
        <is>
          <t>LLD</t>
        </is>
      </c>
      <c r="D252" s="17" t="inlineStr">
        <is>
          <t>Advanced</t>
        </is>
      </c>
      <c r="E252" s="13" t="inlineStr">
        <is>
          <t>How can Decorator and Observer combine for a caching repository with invalidation across instances?</t>
        </is>
      </c>
      <c r="F252" s="13" t="inlineStr">
        <is>
          <t>A CachedRepository decorator serves reads from cache and deletes the key on local writes. Because other instances hold their own caches, the write also publishes an event (Redis pub/sub or a broker), and each instance runs an observer/subscriber that deletes the key locally. The decorator handles the read path, the observer handles invalidation, and the real repository stays untouched. Add TTLs in case an invalidation message is lost.</t>
        </is>
      </c>
      <c r="G252" s="13" t="inlineStr"/>
    </row>
    <row r="253">
      <c r="A253" s="13" t="n">
        <v>21</v>
      </c>
      <c r="B253" s="24" t="n">
        <v>46313</v>
      </c>
      <c r="C253" s="13" t="inlineStr">
        <is>
          <t>LLD</t>
        </is>
      </c>
      <c r="D253" s="17" t="inlineStr">
        <is>
          <t>Advanced</t>
        </is>
      </c>
      <c r="E253" s="13" t="inlineStr">
        <is>
          <t>Decorator and Proxy look identical in code. How do you justify which one you used?</t>
        </is>
      </c>
      <c r="F253" s="13" t="inlineStr">
        <is>
          <t>State the intent. If the wrapper adds optional, composable behaviour and the client builds the stack (logging plus caching plus retry), it is a Decorator. If the wrapper controls access or lifecycle of one real subject, often creating it itself (lazy loading, permission checks, remote stubs), it is a Proxy. A caching wrapper can be described either way; say decorator when stacking it through DI, caching proxy when it hides an expensive remote object.</t>
        </is>
      </c>
      <c r="G253" s="13" t="inlineStr"/>
    </row>
    <row r="254">
      <c r="A254" s="13" t="n">
        <v>22</v>
      </c>
      <c r="B254" s="24" t="n">
        <v>46314</v>
      </c>
      <c r="C254" s="13" t="inlineStr">
        <is>
          <t>HLD</t>
        </is>
      </c>
      <c r="D254" s="18" t="inlineStr">
        <is>
          <t>Basic</t>
        </is>
      </c>
      <c r="E254" s="13" t="inlineStr">
        <is>
          <t>What is a message queue and why use one?</t>
        </is>
      </c>
      <c r="F254" s="13" t="inlineStr">
        <is>
          <t>A message queue is a buffer where producers put messages and consumers take them off asynchronously. It decouples the two sides in time and availability: the producer does not wait for processing and the consumer can be down temporarily. It absorbs traffic spikes, enables retries and lets you scale consumers independently. Examples: RabbitMQ, Amazon SQS, Azure Service Bus, Kafka.</t>
        </is>
      </c>
      <c r="G254" s="13" t="inlineStr"/>
    </row>
    <row r="255">
      <c r="A255" s="13" t="n">
        <v>22</v>
      </c>
      <c r="B255" s="24" t="n">
        <v>46314</v>
      </c>
      <c r="C255" s="13" t="inlineStr">
        <is>
          <t>HLD</t>
        </is>
      </c>
      <c r="D255" s="18" t="inlineStr">
        <is>
          <t>Basic</t>
        </is>
      </c>
      <c r="E255" s="13" t="inlineStr">
        <is>
          <t>Give typical use cases for queues in a backend system.</t>
        </is>
      </c>
      <c r="F255" s="13" t="inlineStr">
        <is>
          <t>- Sending emails, SMS and push notifications after an action.
- Order processing, payments and invoice generation outside the request path.
- Image and video processing, report and PDF generation.
- Smoothing bursty writes to a database or a rate-limited third-party API.
- Integrating services so one failure does not cascade to others.</t>
        </is>
      </c>
      <c r="G255" s="13" t="inlineStr"/>
    </row>
    <row r="256">
      <c r="A256" s="13" t="n">
        <v>22</v>
      </c>
      <c r="B256" s="24" t="n">
        <v>46314</v>
      </c>
      <c r="C256" s="13" t="inlineStr">
        <is>
          <t>HLD</t>
        </is>
      </c>
      <c r="D256" s="16" t="inlineStr">
        <is>
          <t>Intermediate</t>
        </is>
      </c>
      <c r="E256" s="13" t="inlineStr">
        <is>
          <t>What is backpressure and how do you handle it when consumers cannot keep up?</t>
        </is>
      </c>
      <c r="F256" s="13" t="inlineStr">
        <is>
          <t>Backpressure is the signal that a downstream stage is slower than upstream, visible as growing queue depth and message age. Options: scale consumers out (autoscale on queue length), use bounded queues that block or reject producers, throttle or rate-limit producers, shed low-priority work, and batch processing to increase throughput. Monitor queue depth and oldest message age and alert on them.</t>
        </is>
      </c>
      <c r="G256" s="13" t="inlineStr"/>
    </row>
    <row r="257">
      <c r="A257" s="13" t="n">
        <v>22</v>
      </c>
      <c r="B257" s="24" t="n">
        <v>46314</v>
      </c>
      <c r="C257" s="13" t="inlineStr">
        <is>
          <t>HLD</t>
        </is>
      </c>
      <c r="D257" s="16" t="inlineStr">
        <is>
          <t>Intermediate</t>
        </is>
      </c>
      <c r="E257" s="13" t="inlineStr">
        <is>
          <t>How do consumers scale, and what is the competing consumers pattern?</t>
        </is>
      </c>
      <c r="F257" s="13" t="inlineStr">
        <is>
          <t>Multiple consumer instances read from the same queue and each message goes to exactly one of them, so throughput grows roughly linearly with consumer count until the database or downstream becomes the bottleneck. The broker balances work (SQS visibility timeout, RabbitMQ prefetch). Consumers must be stateless and idempotent, since a message can be redelivered to another instance if one crashes.</t>
        </is>
      </c>
      <c r="G257" s="13" t="inlineStr"/>
    </row>
    <row r="258">
      <c r="A258" s="13" t="n">
        <v>22</v>
      </c>
      <c r="B258" s="24" t="n">
        <v>46314</v>
      </c>
      <c r="C258" s="13" t="inlineStr">
        <is>
          <t>HLD</t>
        </is>
      </c>
      <c r="D258" s="17" t="inlineStr">
        <is>
          <t>Advanced</t>
        </is>
      </c>
      <c r="E258" s="13" t="inlineStr">
        <is>
          <t>Explain the ordering versus throughput trade-off in message queues.</t>
        </is>
      </c>
      <c r="F258" s="13" t="inlineStr">
        <is>
          <t>Strict global ordering means one consumer processes messages one at a time, which caps throughput. The usual compromise is ordering per key: Kafka partitions by key and SQS FIFO uses message group IDs, so messages for one order or user stay ordered while different keys process in parallel. Retries also break ordering, so either block the key until success or design consumers to tolerate out-of-order messages using versions or timestamps.</t>
        </is>
      </c>
      <c r="G258" s="13" t="inlineStr"/>
    </row>
    <row r="259">
      <c r="A259" s="13" t="n">
        <v>22</v>
      </c>
      <c r="B259" s="24" t="n">
        <v>46314</v>
      </c>
      <c r="C259" s="13" t="inlineStr">
        <is>
          <t>HLD</t>
        </is>
      </c>
      <c r="D259" s="17" t="inlineStr">
        <is>
          <t>Advanced</t>
        </is>
      </c>
      <c r="E259" s="13" t="inlineStr">
        <is>
          <t>Kafka vs RabbitMQ vs SQS: how do you choose?</t>
        </is>
      </c>
      <c r="F259" s="13" t="inlineStr">
        <is>
          <t>- RabbitMQ: traditional broker with flexible routing (exchanges), per-message ack, messages deleted after consumption; good for task queues and complex routing.
- Kafka: distributed append-only log, very high throughput, retention and replay, ordering per partition, consumer groups; good for event streaming and analytics.
- SQS: fully managed, near-unlimited scale, standard (at-least-once, best-effort order) or FIFO; good default on AWS with minimal operations.
Choose by need for replay, ordering, routing and operational effort.</t>
        </is>
      </c>
      <c r="G259" s="13" t="inlineStr"/>
    </row>
    <row r="260">
      <c r="A260" s="13" t="n">
        <v>22</v>
      </c>
      <c r="B260" s="24" t="n">
        <v>46314</v>
      </c>
      <c r="C260" s="13" t="inlineStr">
        <is>
          <t>LLD</t>
        </is>
      </c>
      <c r="D260" s="18" t="inlineStr">
        <is>
          <t>Basic</t>
        </is>
      </c>
      <c r="E260" s="13" t="inlineStr">
        <is>
          <t>What is System.Threading.Channels and why use it?</t>
        </is>
      </c>
      <c r="F260" s="13" t="inlineStr">
        <is>
          <t>Channels provide an in-process, thread-safe, async producer-consumer queue: Channel&lt;T&gt; has a Writer (ChannelWriter&lt;T&gt;) and a Reader (ChannelReader&lt;T&gt;). Producers await WriteAsync and consumers await ReadAllAsync without blocking threads. It is faster and more async-friendly than BlockingCollection and is ideal for background work queues in ASP.NET Core.</t>
        </is>
      </c>
      <c r="G260" s="13" t="inlineStr"/>
    </row>
    <row r="261">
      <c r="A261" s="13" t="n">
        <v>22</v>
      </c>
      <c r="B261" s="24" t="n">
        <v>46314</v>
      </c>
      <c r="C261" s="13" t="inlineStr">
        <is>
          <t>LLD</t>
        </is>
      </c>
      <c r="D261" s="18" t="inlineStr">
        <is>
          <t>Basic</t>
        </is>
      </c>
      <c r="E261" s="13" t="inlineStr">
        <is>
          <t>What is the difference between bounded and unbounded channels?</t>
        </is>
      </c>
      <c r="F261" s="13" t="inlineStr">
        <is>
          <t>Channel.CreateUnbounded&lt;T&gt;() never blocks writers but can grow without limit and exhaust memory if consumers are slow. Channel.CreateBounded&lt;T&gt;(capacity) applies backpressure: when full, BoundedChannelFullMode decides whether WriteAsync waits (Wait) or drops the oldest, newest or incoming item. Prefer bounded channels in production so the system degrades gracefully.</t>
        </is>
      </c>
      <c r="G261" s="13" t="inlineStr"/>
    </row>
    <row r="262">
      <c r="A262" s="13" t="n">
        <v>22</v>
      </c>
      <c r="B262" s="24" t="n">
        <v>46314</v>
      </c>
      <c r="C262" s="13" t="inlineStr">
        <is>
          <t>LLD</t>
        </is>
      </c>
      <c r="D262" s="16" t="inlineStr">
        <is>
          <t>Intermediate</t>
        </is>
      </c>
      <c r="E262" s="13" t="inlineStr">
        <is>
          <t>Write a simple producer-consumer with Channels in C#.</t>
        </is>
      </c>
      <c r="F262" s="13" t="inlineStr">
        <is>
          <t>```csharp
var channel = Channel.CreateBounded&lt;int&gt;(new BoundedChannelOptions(100)
    { FullMode = BoundedChannelFullMode.Wait });
var producer = Task.Run(async () =&gt; {
    for (int i = 0; i &lt; 1000; i++) await channel.Writer.WriteAsync(i);
    channel.Writer.Complete();
});
var consumer = Task.Run(async () =&gt; {
    await foreach (var item in channel.Reader.ReadAllAsync())
        Console.WriteLine($"Processed {item}");
});
await Task.WhenAll(producer, consumer);
```
Complete() tells the reader no more items will come, so ReadAllAsync ends.</t>
        </is>
      </c>
      <c r="G262" s="13" t="inlineStr"/>
    </row>
    <row r="263">
      <c r="A263" s="13" t="n">
        <v>22</v>
      </c>
      <c r="B263" s="24" t="n">
        <v>46314</v>
      </c>
      <c r="C263" s="13" t="inlineStr">
        <is>
          <t>LLD</t>
        </is>
      </c>
      <c r="D263" s="16" t="inlineStr">
        <is>
          <t>Intermediate</t>
        </is>
      </c>
      <c r="E263" s="13" t="inlineStr">
        <is>
          <t>How do you use a Channel as a background job queue in ASP.NET Core?</t>
        </is>
      </c>
      <c r="F263" s="13" t="inlineStr">
        <is>
          <t>Register a singleton IBackgroundQueue wrapping a bounded Channel&lt;Func&lt;CancellationToken, Task&gt;&gt; (or a job DTO). Controllers enqueue work and return 202 Accepted immediately. A BackgroundService reads from the channel in ExecuteAsync with await foreach over ReadAllAsync(stoppingToken) and runs each job inside try/catch, creating a DI scope per job for scoped services like DbContext. Note that work is lost on process crash, so durable jobs need a real broker.</t>
        </is>
      </c>
      <c r="G263" s="13" t="inlineStr"/>
    </row>
    <row r="264">
      <c r="A264" s="13" t="n">
        <v>22</v>
      </c>
      <c r="B264" s="24" t="n">
        <v>46314</v>
      </c>
      <c r="C264" s="13" t="inlineStr">
        <is>
          <t>LLD</t>
        </is>
      </c>
      <c r="D264" s="17" t="inlineStr">
        <is>
          <t>Advanced</t>
        </is>
      </c>
      <c r="E264" s="13" t="inlineStr">
        <is>
          <t>How do you run multiple consumers on one channel and shut down gracefully?</t>
        </is>
      </c>
      <c r="F264" s="13" t="inlineStr">
        <is>
          <t>Start N tasks that each await foreach over the same channel.Reader.ReadAllAsync(token); the channel guarantees each item is read by only one consumer. Set SingleReader = false (and SingleWriter as appropriate) in options. For graceful shutdown, call Writer.Complete() so consumers drain remaining items and exit, then await Task.WhenAll on the consumer tasks, respecting a timeout via the cancellation token. Handle exceptions per item so one failure does not kill a consumer loop.</t>
        </is>
      </c>
      <c r="G264" s="13" t="inlineStr"/>
    </row>
    <row r="265">
      <c r="A265" s="13" t="n">
        <v>22</v>
      </c>
      <c r="B265" s="24" t="n">
        <v>46314</v>
      </c>
      <c r="C265" s="13" t="inlineStr">
        <is>
          <t>LLD</t>
        </is>
      </c>
      <c r="D265" s="17" t="inlineStr">
        <is>
          <t>Advanced</t>
        </is>
      </c>
      <c r="E265" s="13" t="inlineStr">
        <is>
          <t>Channels vs BlockingCollection vs ConcurrentQueue: when to use which?</t>
        </is>
      </c>
      <c r="F265" s="13" t="inlineStr">
        <is>
          <t>ConcurrentQueue is a lock-free thread-safe collection with no waiting; consumers must poll. BlockingCollection adds blocking Take and bounded capacity but blocks threads, which is wasteful in async code. Channels are async-first: waiting consumers do not hold a thread, they support bounded backpressure, completion and cancellation. In modern .NET async services, Channels are the default; BlockingCollection only suits legacy synchronous code.</t>
        </is>
      </c>
      <c r="G265" s="13" t="inlineStr"/>
    </row>
    <row r="266">
      <c r="A266" s="13" t="n">
        <v>23</v>
      </c>
      <c r="B266" s="24" t="n">
        <v>46315</v>
      </c>
      <c r="C266" s="13" t="inlineStr">
        <is>
          <t>HLD</t>
        </is>
      </c>
      <c r="D266" s="18" t="inlineStr">
        <is>
          <t>Basic</t>
        </is>
      </c>
      <c r="E266" s="13" t="inlineStr">
        <is>
          <t>What is the difference between a queue and pub/sub?</t>
        </is>
      </c>
      <c r="F266" s="13" t="inlineStr">
        <is>
          <t>In a queue (point-to-point) each message is processed by exactly one consumer, which is used to distribute work. In pub/sub a publisher sends an event to a topic and every subscriber receives its own copy, which is used to broadcast facts to many interested services. Queues model commands (do this); pub/sub models events (this happened).</t>
        </is>
      </c>
      <c r="G266" s="13" t="inlineStr"/>
    </row>
    <row r="267">
      <c r="A267" s="13" t="n">
        <v>23</v>
      </c>
      <c r="B267" s="24" t="n">
        <v>46315</v>
      </c>
      <c r="C267" s="13" t="inlineStr">
        <is>
          <t>HLD</t>
        </is>
      </c>
      <c r="D267" s="18" t="inlineStr">
        <is>
          <t>Basic</t>
        </is>
      </c>
      <c r="E267" s="13" t="inlineStr">
        <is>
          <t>What is fan-out and give an example.</t>
        </is>
      </c>
      <c r="F267" s="13" t="inlineStr">
        <is>
          <t>Fan-out is one event delivered to many independent consumers. Example: an OrderPlaced event goes to inventory (reserve stock), payment, email notification, analytics and a search indexer. The order service publishes once and does not know or wait for the others, so new consumers can be added without changing the producer.</t>
        </is>
      </c>
      <c r="G267" s="13" t="inlineStr"/>
    </row>
    <row r="268">
      <c r="A268" s="13" t="n">
        <v>23</v>
      </c>
      <c r="B268" s="24" t="n">
        <v>46315</v>
      </c>
      <c r="C268" s="13" t="inlineStr">
        <is>
          <t>HLD</t>
        </is>
      </c>
      <c r="D268" s="16" t="inlineStr">
        <is>
          <t>Intermediate</t>
        </is>
      </c>
      <c r="E268" s="13" t="inlineStr">
        <is>
          <t>Explain topics, subscriptions and filters.</t>
        </is>
      </c>
      <c r="F268" s="13" t="inlineStr">
        <is>
          <t>A topic is a named channel that publishers send events to. A subscription is a durable queue attached to the topic for one consumer group; each subscription gets a copy of every matching message and tracks its own progress. Filters (message attributes, SQL-like rules in Azure Service Bus, SNS filter policies) let a subscription receive only relevant events, such as only orders with country = IN, reducing wasted processing.</t>
        </is>
      </c>
      <c r="G268" s="13" t="inlineStr"/>
    </row>
    <row r="269">
      <c r="A269" s="13" t="n">
        <v>23</v>
      </c>
      <c r="B269" s="24" t="n">
        <v>46315</v>
      </c>
      <c r="C269" s="13" t="inlineStr">
        <is>
          <t>HLD</t>
        </is>
      </c>
      <c r="D269" s="16" t="inlineStr">
        <is>
          <t>Intermediate</t>
        </is>
      </c>
      <c r="E269" s="13" t="inlineStr">
        <is>
          <t>How do you implement fan-out on AWS, and why SNS + SQS instead of SNS alone?</t>
        </is>
      </c>
      <c r="F269" s="13" t="inlineStr">
        <is>
          <t>Publish to an SNS topic and subscribe one SQS queue per consuming service. SNS alone pushes to endpoints and has limited retry; if a consumer is down the message may be lost. Putting an SQS queue per subscriber gives each service durable buffering, its own retry and DLQ, independent scaling and the ability to be offline temporarily. EventBridge is an alternative with richer content-based routing.</t>
        </is>
      </c>
      <c r="G269" s="13" t="inlineStr"/>
    </row>
    <row r="270">
      <c r="A270" s="13" t="n">
        <v>23</v>
      </c>
      <c r="B270" s="24" t="n">
        <v>46315</v>
      </c>
      <c r="C270" s="13" t="inlineStr">
        <is>
          <t>HLD</t>
        </is>
      </c>
      <c r="D270" s="17" t="inlineStr">
        <is>
          <t>Advanced</t>
        </is>
      </c>
      <c r="E270" s="13" t="inlineStr">
        <is>
          <t>How does Kafka implement pub/sub and scaling at the same time?</t>
        </is>
      </c>
      <c r="F270" s="13" t="inlineStr">
        <is>
          <t>A topic is split into partitions. Each consumer group gets every message (pub/sub across groups), while within a group each partition is assigned to one consumer (queue semantics within the group). So fan-out comes from multiple groups and parallelism from partitions. Messages are retained for a period, so new subscribers can replay history by resetting offsets.</t>
        </is>
      </c>
      <c r="G270" s="13" t="inlineStr"/>
    </row>
    <row r="271">
      <c r="A271" s="13" t="n">
        <v>23</v>
      </c>
      <c r="B271" s="24" t="n">
        <v>46315</v>
      </c>
      <c r="C271" s="13" t="inlineStr">
        <is>
          <t>HLD</t>
        </is>
      </c>
      <c r="D271" s="17" t="inlineStr">
        <is>
          <t>Advanced</t>
        </is>
      </c>
      <c r="E271" s="13" t="inlineStr">
        <is>
          <t>What challenges come with event-driven pub/sub architectures?</t>
        </is>
      </c>
      <c r="F271" s="13" t="inlineStr">
        <is>
          <t>- Eventual consistency between services and harder debugging; you need correlation IDs and distributed tracing.
- Duplicate and out-of-order events; consumers must be idempotent.
- Schema evolution: versioned events and a schema registry to avoid breaking subscribers.
- Dual-write problem: saving to the DB and publishing must be atomic, solved with the transactional outbox.
- Hidden coupling on event contents and hard-to-see flows across many subscribers.</t>
        </is>
      </c>
      <c r="G271" s="13" t="inlineStr"/>
    </row>
    <row r="272">
      <c r="A272" s="13" t="n">
        <v>23</v>
      </c>
      <c r="B272" s="24" t="n">
        <v>46315</v>
      </c>
      <c r="C272" s="13" t="inlineStr">
        <is>
          <t>LLD</t>
        </is>
      </c>
      <c r="D272" s="18" t="inlineStr">
        <is>
          <t>Basic</t>
        </is>
      </c>
      <c r="E272" s="13" t="inlineStr">
        <is>
          <t>What is an in-memory event bus?</t>
        </is>
      </c>
      <c r="F272" s="13" t="inlineStr">
        <is>
          <t>An in-process component where publishers call Publish(event) and handlers registered for that event type are invoked, without publishers knowing the handlers. It decouples modules inside one application, for example raising a domain event when an order is placed. It is not durable and does not cross process boundaries; for that you use a message broker.</t>
        </is>
      </c>
      <c r="G272" s="13" t="inlineStr"/>
    </row>
    <row r="273">
      <c r="A273" s="13" t="n">
        <v>23</v>
      </c>
      <c r="B273" s="24" t="n">
        <v>46315</v>
      </c>
      <c r="C273" s="13" t="inlineStr">
        <is>
          <t>LLD</t>
        </is>
      </c>
      <c r="D273" s="18" t="inlineStr">
        <is>
          <t>Basic</t>
        </is>
      </c>
      <c r="E273" s="13" t="inlineStr">
        <is>
          <t>What would the interface of an event bus look like in C#?</t>
        </is>
      </c>
      <c r="F273" s="13" t="inlineStr">
        <is>
          <t>A minimal interface: public interface IEventBus { void Subscribe&lt;T&gt;(Func&lt;T, Task&gt; handler); void Unsubscribe&lt;T&gt;(Func&lt;T, Task&gt; handler); Task PublishAsync&lt;T&gt;(T evt); }. Alternatively handlers implement IEventHandler&lt;T&gt; { Task HandleAsync(T evt); } and are resolved from DI. Events are simple immutable records like public record OrderPlaced(Guid OrderId, decimal Total);</t>
        </is>
      </c>
      <c r="G273" s="13" t="inlineStr"/>
    </row>
    <row r="274">
      <c r="A274" s="13" t="n">
        <v>23</v>
      </c>
      <c r="B274" s="24" t="n">
        <v>46315</v>
      </c>
      <c r="C274" s="13" t="inlineStr">
        <is>
          <t>LLD</t>
        </is>
      </c>
      <c r="D274" s="16" t="inlineStr">
        <is>
          <t>Intermediate</t>
        </is>
      </c>
      <c r="E274" s="13" t="inlineStr">
        <is>
          <t>Implement a simple thread-safe in-memory event bus in C#.</t>
        </is>
      </c>
      <c r="F274" s="13" t="inlineStr">
        <is>
          <t>```csharp
public class EventBus : IEventBus {
    private readonly ConcurrentDictionary&lt;Type, List&lt;Func&lt;object, Task&gt;&gt;&gt; _handlers = new();
    public void Subscribe&lt;T&gt;(Func&lt;T, Task&gt; handler) {
        var list = _handlers.GetOrAdd(typeof(T), _ =&gt; new());
        lock (list) list.Add(e =&gt; handler((T)e));
    }
    public async Task PublishAsync&lt;T&gt;(T evt) {
        if (!_handlers.TryGetValue(typeof(T), out var list)) return;
        Func&lt;object, Task&gt;[] snapshot; lock (list) snapshot = list.ToArray();
        foreach (var h in snapshot) await h(evt!);
    }
}
```
Publishing over a snapshot avoids 'collection modified' errors if a handler subscribes during publish.</t>
        </is>
      </c>
      <c r="G274" s="13" t="inlineStr"/>
    </row>
    <row r="275">
      <c r="A275" s="13" t="n">
        <v>23</v>
      </c>
      <c r="B275" s="24" t="n">
        <v>46315</v>
      </c>
      <c r="C275" s="13" t="inlineStr">
        <is>
          <t>LLD</t>
        </is>
      </c>
      <c r="D275" s="16" t="inlineStr">
        <is>
          <t>Intermediate</t>
        </is>
      </c>
      <c r="E275" s="13" t="inlineStr">
        <is>
          <t>How would you use DI to resolve event handlers instead of manual subscription?</t>
        </is>
      </c>
      <c r="F275" s="13" t="inlineStr">
        <is>
          <t>Define IEventHandler&lt;T&gt; and register implementations: services.AddScoped&lt;IEventHandler&lt;OrderPlaced&gt;, SendConfirmationEmail&gt;(). The bus takes IServiceProvider, creates a scope, and calls scope.ServiceProvider.GetServices&lt;IEventHandler&lt;T&gt;&gt;() on publish, invoking each. This gives handlers scoped dependencies like DbContext and makes adding a handler just a new class plus registration. MediatR's INotification/INotificationHandler works this way.</t>
        </is>
      </c>
      <c r="G275" s="13" t="inlineStr"/>
    </row>
    <row r="276">
      <c r="A276" s="13" t="n">
        <v>23</v>
      </c>
      <c r="B276" s="24" t="n">
        <v>46315</v>
      </c>
      <c r="C276" s="13" t="inlineStr">
        <is>
          <t>LLD</t>
        </is>
      </c>
      <c r="D276" s="17" t="inlineStr">
        <is>
          <t>Advanced</t>
        </is>
      </c>
      <c r="E276" s="13" t="inlineStr">
        <is>
          <t>How should the event bus handle a handler that throws an exception?</t>
        </is>
      </c>
      <c r="F276" s="13" t="inlineStr">
        <is>
          <t>Decide the policy explicitly. Options: catch per handler, log and continue so other handlers still run (best-effort); collect exceptions and throw an AggregateException after all run; or add retries around each handler. Running handlers in parallel with Task.WhenAll improves latency but needs the same error handling. If a handler must not be lost, persist the event (outbox) and process it asynchronously instead of relying on in-memory dispatch.</t>
        </is>
      </c>
      <c r="G276" s="13" t="inlineStr"/>
    </row>
    <row r="277">
      <c r="A277" s="13" t="n">
        <v>23</v>
      </c>
      <c r="B277" s="24" t="n">
        <v>46315</v>
      </c>
      <c r="C277" s="13" t="inlineStr">
        <is>
          <t>LLD</t>
        </is>
      </c>
      <c r="D277" s="17" t="inlineStr">
        <is>
          <t>Advanced</t>
        </is>
      </c>
      <c r="E277" s="13" t="inlineStr">
        <is>
          <t>When should domain events be dispatched relative to saving to the database?</t>
        </is>
      </c>
      <c r="F277" s="13" t="inlineStr">
        <is>
          <t>Dispatching before commit risks side effects (emails sent) for a transaction that later rolls back. A common pattern: entities collect domain events in a list, and after SaveChanges succeeds (for example in a DbContext override or unit of work) the events are dispatched. For integration events leaving the process, write them to an outbox table in the same transaction and have a background publisher send them to the broker, which gives at-least-once delivery without dual writes.</t>
        </is>
      </c>
      <c r="G277" s="13" t="inlineStr"/>
    </row>
    <row r="278">
      <c r="A278" s="13" t="n">
        <v>24</v>
      </c>
      <c r="B278" s="24" t="n">
        <v>46316</v>
      </c>
      <c r="C278" s="13" t="inlineStr">
        <is>
          <t>HLD</t>
        </is>
      </c>
      <c r="D278" s="18" t="inlineStr">
        <is>
          <t>Basic</t>
        </is>
      </c>
      <c r="E278" s="13" t="inlineStr">
        <is>
          <t>Explain at-most-once, at-least-once and exactly-once delivery.</t>
        </is>
      </c>
      <c r="F278" s="13" t="inlineStr">
        <is>
          <t>- At-most-once: a message is delivered zero or one time; ack before processing, so a crash loses it. Fine for metrics.
- At-least-once: never lost but may be delivered more than once; ack after processing. The default for SQS, RabbitMQ and most systems.
- Exactly-once: each message affects the system once; very hard end to end and usually achieved as at-least-once plus idempotent processing.</t>
        </is>
      </c>
      <c r="G278" s="13" t="inlineStr"/>
    </row>
    <row r="279">
      <c r="A279" s="13" t="n">
        <v>24</v>
      </c>
      <c r="B279" s="24" t="n">
        <v>46316</v>
      </c>
      <c r="C279" s="13" t="inlineStr">
        <is>
          <t>HLD</t>
        </is>
      </c>
      <c r="D279" s="18" t="inlineStr">
        <is>
          <t>Basic</t>
        </is>
      </c>
      <c r="E279" s="13" t="inlineStr">
        <is>
          <t>What is a dead-letter queue?</t>
        </is>
      </c>
      <c r="F279" s="13" t="inlineStr">
        <is>
          <t>A DLQ is a separate queue where messages go after failing processing a configured number of times (maxReceiveCount in SQS). It stops poison messages, such as malformed payloads or bugs, from being retried forever and blocking other work. Teams alert on DLQ depth, inspect and fix the cause, then redrive the messages back to the main queue.</t>
        </is>
      </c>
      <c r="G279" s="13" t="inlineStr"/>
    </row>
    <row r="280">
      <c r="A280" s="13" t="n">
        <v>24</v>
      </c>
      <c r="B280" s="24" t="n">
        <v>46316</v>
      </c>
      <c r="C280" s="13" t="inlineStr">
        <is>
          <t>HLD</t>
        </is>
      </c>
      <c r="D280" s="16" t="inlineStr">
        <is>
          <t>Intermediate</t>
        </is>
      </c>
      <c r="E280" s="13" t="inlineStr">
        <is>
          <t>Why does at-least-once delivery mean consumers must be idempotent, and how do you make them so?</t>
        </is>
      </c>
      <c r="F280" s="13" t="inlineStr">
        <is>
          <t>Duplicates happen when a consumer processes a message but crashes or times out before acking, so the broker redelivers it. Idempotency ensures processing twice has the same effect as once. Techniques:
- Store processed message IDs (or a business idempotency key) in a table with a unique constraint, in the same transaction as the business change.
- Use natural idempotent operations (set status = Paid rather than balance += 100).
- Use conditional updates with versions.</t>
        </is>
      </c>
      <c r="G280" s="13" t="inlineStr"/>
    </row>
    <row r="281">
      <c r="A281" s="13" t="n">
        <v>24</v>
      </c>
      <c r="B281" s="24" t="n">
        <v>46316</v>
      </c>
      <c r="C281" s="13" t="inlineStr">
        <is>
          <t>HLD</t>
        </is>
      </c>
      <c r="D281" s="16" t="inlineStr">
        <is>
          <t>Intermediate</t>
        </is>
      </c>
      <c r="E281" s="13" t="inlineStr">
        <is>
          <t>What is the visibility timeout in SQS and how does it affect retries?</t>
        </is>
      </c>
      <c r="F281" s="13" t="inlineStr">
        <is>
          <t>When a consumer receives a message, SQS hides it from other consumers for the visibility timeout. If the consumer deletes it before the timeout, it is done; otherwise it reappears and is retried, incrementing the receive count until it moves to the DLQ. Set the timeout longer than normal processing time, and extend it (ChangeMessageVisibility) for long jobs, otherwise another consumer processes the same message in parallel.</t>
        </is>
      </c>
      <c r="G281" s="13" t="inlineStr"/>
    </row>
    <row r="282">
      <c r="A282" s="13" t="n">
        <v>24</v>
      </c>
      <c r="B282" s="24" t="n">
        <v>46316</v>
      </c>
      <c r="C282" s="13" t="inlineStr">
        <is>
          <t>HLD</t>
        </is>
      </c>
      <c r="D282" s="17" t="inlineStr">
        <is>
          <t>Advanced</t>
        </is>
      </c>
      <c r="E282" s="13" t="inlineStr">
        <is>
          <t>Why is exactly-once delivery so hard, and how does Kafka claim exactly-once semantics?</t>
        </is>
      </c>
      <c r="F282" s="13" t="inlineStr">
        <is>
          <t>The consumer cannot atomically do a side effect (DB write, email) and acknowledge the message, so a crash between the two causes either loss or duplication (the two generals problem). Kafka offers exactly-once within Kafka: idempotent producers (sequence numbers dedupe retries) and transactions that atomically write outputs and commit consumer offsets, for read-process-write between topics. Once external systems are involved you are back to idempotent consumers or storing offsets in the same DB transaction.</t>
        </is>
      </c>
      <c r="G282" s="13" t="inlineStr"/>
    </row>
    <row r="283">
      <c r="A283" s="13" t="n">
        <v>24</v>
      </c>
      <c r="B283" s="24" t="n">
        <v>46316</v>
      </c>
      <c r="C283" s="13" t="inlineStr">
        <is>
          <t>HLD</t>
        </is>
      </c>
      <c r="D283" s="17" t="inlineStr">
        <is>
          <t>Advanced</t>
        </is>
      </c>
      <c r="E283" s="13" t="inlineStr">
        <is>
          <t>Design a retry strategy for a failing consumer.</t>
        </is>
      </c>
      <c r="F283" s="13" t="inlineStr">
        <is>
          <t>- Classify errors: transient (timeouts, 503) are retried; permanent (validation, 400) go straight to the DLQ.
- Exponential backoff with jitter, e.g. 1s, 2s, 4s with a max, using visibility timeout or delay queues rather than blocking the consumer.
- Cap attempts (e.g. 5) then dead-letter with error details.
- Circuit breaker when the downstream is down, to stop hammering it.
- Idempotent handlers so retries are safe, and monitoring on retry rate and DLQ size.</t>
        </is>
      </c>
      <c r="G283" s="13" t="inlineStr"/>
    </row>
    <row r="284">
      <c r="A284" s="13" t="n">
        <v>24</v>
      </c>
      <c r="B284" s="24" t="n">
        <v>46316</v>
      </c>
      <c r="C284" s="13" t="inlineStr">
        <is>
          <t>LLD</t>
        </is>
      </c>
      <c r="D284" s="18" t="inlineStr">
        <is>
          <t>Basic</t>
        </is>
      </c>
      <c r="E284" s="13" t="inlineStr">
        <is>
          <t>What is the Command pattern?</t>
        </is>
      </c>
      <c r="F284" s="13" t="inlineStr">
        <is>
          <t>Command encapsulates a request as an object containing everything needed to perform it: the action and its parameters. This decouples the invoker (queue, scheduler, button) from the receiver that does the work. Because a request becomes an object, it can be queued, logged, serialized, retried and undone.</t>
        </is>
      </c>
      <c r="G284" s="13" t="inlineStr"/>
    </row>
    <row r="285">
      <c r="A285" s="13" t="n">
        <v>24</v>
      </c>
      <c r="B285" s="24" t="n">
        <v>46316</v>
      </c>
      <c r="C285" s="13" t="inlineStr">
        <is>
          <t>LLD</t>
        </is>
      </c>
      <c r="D285" s="18" t="inlineStr">
        <is>
          <t>Basic</t>
        </is>
      </c>
      <c r="E285" s="13" t="inlineStr">
        <is>
          <t>Why is the Command pattern a good fit for retryable background jobs?</t>
        </is>
      </c>
      <c r="F285" s="13" t="inlineStr">
        <is>
          <t>Each job is a self-contained object with an Execute method and its data, so a generic job runner can execute, catch failures and re-run it without knowing its details. Commands can be serialized to a queue or DB and executed later by another process. Retry metadata (attempt count, next retry time) and an idempotency key can live alongside the command. Libraries like Hangfire are built on this idea.</t>
        </is>
      </c>
      <c r="G285" s="13" t="inlineStr"/>
    </row>
    <row r="286">
      <c r="A286" s="13" t="n">
        <v>24</v>
      </c>
      <c r="B286" s="24" t="n">
        <v>46316</v>
      </c>
      <c r="C286" s="13" t="inlineStr">
        <is>
          <t>LLD</t>
        </is>
      </c>
      <c r="D286" s="16" t="inlineStr">
        <is>
          <t>Intermediate</t>
        </is>
      </c>
      <c r="E286" s="13" t="inlineStr">
        <is>
          <t>Implement a retryable command and a job runner in C#.</t>
        </is>
      </c>
      <c r="F286" s="13" t="inlineStr">
        <is>
          <t>```csharp
public interface IJob { string Id { get; } Task ExecuteAsync(CancellationToken ct); }
public class SendEmailJob(string to, string body, IEmailClient client) : IJob {
    public string Id { get; } = Guid.NewGuid().ToString(); public Task ExecuteAsync(CancellationToken ct) =&gt; client.SendAsync(to, body, ct);
}
public class JobRunner {
    public async Task RunAsync(IJob job, int maxAttempts, CancellationToken ct) {
        for (int attempt = 1; ; attempt++) {
            try { await job.ExecuteAsync(ct); return; }
            catch (Exception) when (attempt &lt; maxAttempts) {
                await Task.Delay(TimeSpan.FromSeconds(Math.Pow(2, attempt)), ct); }
    } }
}
```
After the last attempt the exception propagates so the job can be dead-lettered.</t>
        </is>
      </c>
      <c r="G286" s="13" t="inlineStr"/>
    </row>
    <row r="287">
      <c r="A287" s="13" t="n">
        <v>24</v>
      </c>
      <c r="B287" s="24" t="n">
        <v>46316</v>
      </c>
      <c r="C287" s="13" t="inlineStr">
        <is>
          <t>LLD</t>
        </is>
      </c>
      <c r="D287" s="16" t="inlineStr">
        <is>
          <t>Intermediate</t>
        </is>
      </c>
      <c r="E287" s="13" t="inlineStr">
        <is>
          <t>How does Command support undo, and when would you use it?</t>
        </is>
      </c>
      <c r="F287" s="13" t="inlineStr">
        <is>
          <t>Add an Undo method to the command interface; each command stores enough state to reverse its effect (for example the previous value). An invoker pushes executed commands onto a stack and pops them to undo, and a redo stack supports redo. Uses: text editors, drawing tools, bulk admin operations. In distributed workflows the same idea appears as compensating actions in the Saga pattern.</t>
        </is>
      </c>
      <c r="G287" s="13" t="inlineStr"/>
    </row>
    <row r="288">
      <c r="A288" s="13" t="n">
        <v>24</v>
      </c>
      <c r="B288" s="24" t="n">
        <v>46316</v>
      </c>
      <c r="C288" s="13" t="inlineStr">
        <is>
          <t>LLD</t>
        </is>
      </c>
      <c r="D288" s="17" t="inlineStr">
        <is>
          <t>Advanced</t>
        </is>
      </c>
      <c r="E288" s="13" t="inlineStr">
        <is>
          <t>How would you persist commands so jobs survive a process restart?</t>
        </is>
      </c>
      <c r="F288" s="13" t="inlineStr">
        <is>
          <t>Separate data from behaviour: store a serializable job descriptor (type name, JSON payload, attempts, status, next run time, idempotency key) in a database table or broker. A worker loads pending rows, deserializes the payload, resolves the handler for the job type from DI (ICommandHandler&lt;TCommand&gt;) and executes it. Update status and attempts transactionally, use row locking or leases so two workers do not pick the same job, and move to a failed state after max attempts.</t>
        </is>
      </c>
      <c r="G288" s="13" t="inlineStr"/>
    </row>
    <row r="289">
      <c r="A289" s="13" t="n">
        <v>24</v>
      </c>
      <c r="B289" s="24" t="n">
        <v>46316</v>
      </c>
      <c r="C289" s="13" t="inlineStr">
        <is>
          <t>LLD</t>
        </is>
      </c>
      <c r="D289" s="17" t="inlineStr">
        <is>
          <t>Advanced</t>
        </is>
      </c>
      <c r="E289" s="13" t="inlineStr">
        <is>
          <t>Command vs Strategy: how are they different?</t>
        </is>
      </c>
      <c r="F289" s="13" t="inlineStr">
        <is>
          <t>Strategy encapsulates how something is done: interchangeable algorithms for the same task, chosen and used by a context (e.g. pricing algorithms). Command encapsulates what is to be done: a specific request with its parameters, which can be queued, logged, retried or undone. A strategy is usually stateless and reused; a command usually carries data for one execution. Both use an interface with one main method, which is why they are confused.</t>
        </is>
      </c>
      <c r="G289" s="13" t="inlineStr"/>
    </row>
    <row r="290">
      <c r="A290" s="13" t="n">
        <v>25</v>
      </c>
      <c r="B290" s="24" t="n">
        <v>46317</v>
      </c>
      <c r="C290" s="13" t="inlineStr">
        <is>
          <t>HLD</t>
        </is>
      </c>
      <c r="D290" s="18" t="inlineStr">
        <is>
          <t>Basic</t>
        </is>
      </c>
      <c r="E290" s="13" t="inlineStr">
        <is>
          <t>What are the requirements for a notification system?</t>
        </is>
      </c>
      <c r="F290" s="13" t="inlineStr">
        <is>
          <t>Functional: send email, SMS and push (and in-app) notifications, triggered by events or APIs; templates; respect user preferences and opt-outs; scheduled and bulk sends. Non-functional: high throughput for spikes (sales, OTPs), low latency for critical messages like OTPs, reliability (no lost notifications), no duplicates where possible, and tracking of delivery status.</t>
        </is>
      </c>
      <c r="G290" s="13" t="inlineStr"/>
    </row>
    <row r="291">
      <c r="A291" s="13" t="n">
        <v>25</v>
      </c>
      <c r="B291" s="24" t="n">
        <v>46317</v>
      </c>
      <c r="C291" s="13" t="inlineStr">
        <is>
          <t>HLD</t>
        </is>
      </c>
      <c r="D291" s="18" t="inlineStr">
        <is>
          <t>Basic</t>
        </is>
      </c>
      <c r="E291" s="13" t="inlineStr">
        <is>
          <t>What are the high-level components of a notification system?</t>
        </is>
      </c>
      <c r="F291" s="13" t="inlineStr">
        <is>
          <t>- Notification API / event consumers that accept requests from other services.
- Validation and preference service (opt-outs, quiet hours, channel choice) and template service.
- A queue per channel (email, SMS, push).
- Channel workers that call third-party providers (SES/SendGrid, Twilio, FCM/APNs).
- A notification log DB for status and history, plus retry and DLQ handling and metrics.</t>
        </is>
      </c>
      <c r="G291" s="13" t="inlineStr"/>
    </row>
    <row r="292">
      <c r="A292" s="13" t="n">
        <v>25</v>
      </c>
      <c r="B292" s="24" t="n">
        <v>46317</v>
      </c>
      <c r="C292" s="13" t="inlineStr">
        <is>
          <t>HLD</t>
        </is>
      </c>
      <c r="D292" s="16" t="inlineStr">
        <is>
          <t>Intermediate</t>
        </is>
      </c>
      <c r="E292" s="13" t="inlineStr">
        <is>
          <t>Why use a separate queue per channel?</t>
        </is>
      </c>
      <c r="F292" s="13" t="inlineStr">
        <is>
          <t>Channels have different throughput, latency and provider limits; SMS providers are slow and rate-limited while push is fast. Separate queues isolate failures so an SMS provider outage does not delay emails, and each worker pool scales independently. It also allows per-channel retry policies and prioritization, such as a high-priority queue for OTPs and a low-priority one for marketing.</t>
        </is>
      </c>
      <c r="G292" s="13" t="inlineStr"/>
    </row>
    <row r="293">
      <c r="A293" s="13" t="n">
        <v>25</v>
      </c>
      <c r="B293" s="24" t="n">
        <v>46317</v>
      </c>
      <c r="C293" s="13" t="inlineStr">
        <is>
          <t>HLD</t>
        </is>
      </c>
      <c r="D293" s="16" t="inlineStr">
        <is>
          <t>Intermediate</t>
        </is>
      </c>
      <c r="E293" s="13" t="inlineStr">
        <is>
          <t>How do you handle retries and third-party provider failures?</t>
        </is>
      </c>
      <c r="F293" s="13" t="inlineStr">
        <is>
          <t>Workers retry transient failures with exponential backoff and jitter, and move messages to a DLQ after a max attempt count. Use a circuit breaker per provider, and fail over to a secondary provider (Twilio to another SMS vendor) when the primary is down. Respect provider rate limits with a limiter in the worker. Record every attempt and status in the notification log so support can see what happened.</t>
        </is>
      </c>
      <c r="G293" s="13" t="inlineStr"/>
    </row>
    <row r="294">
      <c r="A294" s="13" t="n">
        <v>25</v>
      </c>
      <c r="B294" s="24" t="n">
        <v>46317</v>
      </c>
      <c r="C294" s="13" t="inlineStr">
        <is>
          <t>HLD</t>
        </is>
      </c>
      <c r="D294" s="17" t="inlineStr">
        <is>
          <t>Advanced</t>
        </is>
      </c>
      <c r="E294" s="13" t="inlineStr">
        <is>
          <t>How do you avoid sending duplicate notifications?</t>
        </is>
      </c>
      <c r="F294" s="13" t="inlineStr">
        <is>
          <t>At-least-once queues cause redelivery, so every notification gets an idempotency key (for example eventId + userId + channel). Before sending, the worker checks and records the key in a store with a unique constraint or a Redis SET NX with TTL; if already present it skips. Providers may also accept an idempotency key. Duplicates cannot be fully eliminated if the process dies after the provider accepts but before recording, so you minimize the window rather than guarantee exactly-once.</t>
        </is>
      </c>
      <c r="G294" s="13" t="inlineStr"/>
    </row>
    <row r="295">
      <c r="A295" s="13" t="n">
        <v>25</v>
      </c>
      <c r="B295" s="24" t="n">
        <v>46317</v>
      </c>
      <c r="C295" s="13" t="inlineStr">
        <is>
          <t>HLD</t>
        </is>
      </c>
      <c r="D295" s="17" t="inlineStr">
        <is>
          <t>Advanced</t>
        </is>
      </c>
      <c r="E295" s="13" t="inlineStr">
        <is>
          <t>How would you scale the system for a flash sale sending 10 million notifications, while keeping OTPs fast?</t>
        </is>
      </c>
      <c r="F295" s="13" t="inlineStr">
        <is>
          <t>Split traffic into priority tiers with separate queues and worker pools: transactional (OTP, order) always has reserved capacity; marketing goes to a bulk queue. Bulk campaigns are expanded into per-user messages by a fan-out job in batches, throttled to provider limits and spread over time. Autoscale workers on queue depth, cache preferences and templates, and batch provider calls where supported. Monitor send rate, failures and queue age per tier.</t>
        </is>
      </c>
      <c r="G295" s="13" t="inlineStr"/>
    </row>
    <row r="296">
      <c r="A296" s="13" t="n">
        <v>25</v>
      </c>
      <c r="B296" s="24" t="n">
        <v>46317</v>
      </c>
      <c r="C296" s="13" t="inlineStr">
        <is>
          <t>LLD</t>
        </is>
      </c>
      <c r="D296" s="18" t="inlineStr">
        <is>
          <t>Basic</t>
        </is>
      </c>
      <c r="E296" s="13" t="inlineStr">
        <is>
          <t>What are the core classes in a notification service LLD?</t>
        </is>
      </c>
      <c r="F296" s="13" t="inlineStr">
        <is>
          <t>Notification (id, userId, type, payload, priority), a Channel enum or INotificationChannel interface, concrete EmailChannel, SmsChannel and PushChannel, UserPreference (enabled channels, quiet hours), TemplateService to render messages, NotificationService to orchestrate, and NotificationLog/Status for tracking. Keep providers behind interfaces so they can be swapped.</t>
        </is>
      </c>
      <c r="G296" s="13" t="inlineStr"/>
    </row>
    <row r="297">
      <c r="A297" s="13" t="n">
        <v>25</v>
      </c>
      <c r="B297" s="24" t="n">
        <v>46317</v>
      </c>
      <c r="C297" s="13" t="inlineStr">
        <is>
          <t>LLD</t>
        </is>
      </c>
      <c r="D297" s="18" t="inlineStr">
        <is>
          <t>Basic</t>
        </is>
      </c>
      <c r="E297" s="13" t="inlineStr">
        <is>
          <t>How does the Strategy pattern apply to notification channels?</t>
        </is>
      </c>
      <c r="F297" s="13" t="inlineStr">
        <is>
          <t>Each channel is a strategy implementing a common INotificationChannel { ChannelType Type { get; } Task SendAsync(Notification n); }. The NotificationService picks the channel strategies based on user preferences and calls them without knowing channel details. Adding WhatsApp means adding one new class and registering it, with no change to the service (Open/Closed).</t>
        </is>
      </c>
      <c r="G297" s="13" t="inlineStr"/>
    </row>
    <row r="298">
      <c r="A298" s="13" t="n">
        <v>25</v>
      </c>
      <c r="B298" s="24" t="n">
        <v>46317</v>
      </c>
      <c r="C298" s="13" t="inlineStr">
        <is>
          <t>LLD</t>
        </is>
      </c>
      <c r="D298" s="16" t="inlineStr">
        <is>
          <t>Intermediate</t>
        </is>
      </c>
      <c r="E298" s="13" t="inlineStr">
        <is>
          <t>Write the NotificationService that sends via the user's preferred channels.</t>
        </is>
      </c>
      <c r="F298" s="13" t="inlineStr">
        <is>
          <t>```csharp
public class NotificationService(IEnumerable&lt;INotificationChannel&gt; channels,
                                 IPreferenceStore prefs) {
    private readonly Dictionary&lt;ChannelType, INotificationChannel&gt; _byType =
        channels.ToDictionary(c =&gt; c.Type);
    public async Task NotifyAsync(Notification n) {
        var enabled = await prefs.GetEnabledChannelsAsync(n.UserId);
        foreach (var type in enabled)
            if (_byType.TryGetValue(type, out var ch))
                await ch.SendAsync(n);
    }
}
```
All channels are injected via DI as IEnumerable&lt;INotificationChannel&gt;.</t>
        </is>
      </c>
      <c r="G298" s="13" t="inlineStr"/>
    </row>
    <row r="299">
      <c r="A299" s="13" t="n">
        <v>25</v>
      </c>
      <c r="B299" s="24" t="n">
        <v>46317</v>
      </c>
      <c r="C299" s="13" t="inlineStr">
        <is>
          <t>LLD</t>
        </is>
      </c>
      <c r="D299" s="16" t="inlineStr">
        <is>
          <t>Intermediate</t>
        </is>
      </c>
      <c r="E299" s="13" t="inlineStr">
        <is>
          <t>Where does the Observer pattern fit in a notification service?</t>
        </is>
      </c>
      <c r="F299" s="13" t="inlineStr">
        <is>
          <t>Business events are the subject: when an order is placed or shipped, the order service raises an event, and observers such as the notification handler, analytics and audit log are subscribed to it. The notification observer converts the event into Notification objects and passes them to the service. This keeps the order domain unaware of notifications. Users subscribing to topics (price drop alerts) is also Observer at the business level.</t>
        </is>
      </c>
      <c r="G299" s="13" t="inlineStr"/>
    </row>
    <row r="300">
      <c r="A300" s="13" t="n">
        <v>25</v>
      </c>
      <c r="B300" s="24" t="n">
        <v>46317</v>
      </c>
      <c r="C300" s="13" t="inlineStr">
        <is>
          <t>LLD</t>
        </is>
      </c>
      <c r="D300" s="17" t="inlineStr">
        <is>
          <t>Advanced</t>
        </is>
      </c>
      <c r="E300" s="13" t="inlineStr">
        <is>
          <t>How would you add retries, rate limiting and logging to channels without changing channel classes?</t>
        </is>
      </c>
      <c r="F300" s="13" t="inlineStr">
        <is>
          <t>Use decorators around INotificationChannel: RetryingChannel (backoff), RateLimitedChannel (provider limits), LoggingChannel (status to the notification log), and a FailoverChannel that tries a primary then secondary provider. Compose them in DI registration, for example Logging(Retrying(RateLimited(TwilioSmsChannel))). Each concern stays small and testable, and concrete channels only know how to call their provider.</t>
        </is>
      </c>
      <c r="G300" s="13" t="inlineStr"/>
    </row>
    <row r="301">
      <c r="A301" s="13" t="n">
        <v>25</v>
      </c>
      <c r="B301" s="24" t="n">
        <v>46317</v>
      </c>
      <c r="C301" s="13" t="inlineStr">
        <is>
          <t>LLD</t>
        </is>
      </c>
      <c r="D301" s="17" t="inlineStr">
        <is>
          <t>Advanced</t>
        </is>
      </c>
      <c r="E301" s="13" t="inlineStr">
        <is>
          <t>How would you design templates and localization in the notification LLD?</t>
        </is>
      </c>
      <c r="F301" s="13" t="inlineStr">
        <is>
          <t>Introduce a Template entity (templateId, channel, locale, subject, body with placeholders) stored in a DB and cached. An ITemplateRenderer renders a template with a data dictionary (using Scriban, Razor or simple placeholder replacement) and falls back to a default locale if missing. Notification carries templateId and data instead of final text, so content can change without code deploys. Each channel may have its own formatter since SMS has length limits and email supports HTML.</t>
        </is>
      </c>
      <c r="G301" s="13" t="inlineStr"/>
    </row>
    <row r="302">
      <c r="A302" s="13" t="n">
        <v>26</v>
      </c>
      <c r="B302" s="24" t="n">
        <v>46318</v>
      </c>
      <c r="C302" s="13" t="inlineStr">
        <is>
          <t>HLD</t>
        </is>
      </c>
      <c r="D302" s="18" t="inlineStr">
        <is>
          <t>Basic</t>
        </is>
      </c>
      <c r="E302" s="13" t="inlineStr">
        <is>
          <t>What is serverless computing?</t>
        </is>
      </c>
      <c r="F302" s="13" t="inlineStr">
        <is>
          <t>Serverless (Function as a Service like AWS Lambda or Azure Functions) lets you deploy functions that run in response to events without managing servers. The provider handles provisioning, scaling and patching; you pay per invocation and execution time, and it scales to zero when idle. Serverless also covers managed services such as DynamoDB, S3 and SQS where there is no server to manage.</t>
        </is>
      </c>
      <c r="G302" s="13" t="inlineStr"/>
    </row>
    <row r="303">
      <c r="A303" s="13" t="n">
        <v>26</v>
      </c>
      <c r="B303" s="24" t="n">
        <v>46318</v>
      </c>
      <c r="C303" s="13" t="inlineStr">
        <is>
          <t>HLD</t>
        </is>
      </c>
      <c r="D303" s="18" t="inlineStr">
        <is>
          <t>Basic</t>
        </is>
      </c>
      <c r="E303" s="13" t="inlineStr">
        <is>
          <t>What are the main advantages and disadvantages of serverless?</t>
        </is>
      </c>
      <c r="F303" s="13" t="inlineStr">
        <is>
          <t>Advantages: no infrastructure management, automatic scaling, pay only for usage, fast to build event-driven glue. Disadvantages: cold starts, execution time limits (15 minutes on Lambda), statelessness, vendor lock-in, harder local debugging and observability, and it can cost more than servers at steady high load.</t>
        </is>
      </c>
      <c r="G303" s="13" t="inlineStr"/>
    </row>
    <row r="304">
      <c r="A304" s="13" t="n">
        <v>26</v>
      </c>
      <c r="B304" s="24" t="n">
        <v>46318</v>
      </c>
      <c r="C304" s="13" t="inlineStr">
        <is>
          <t>HLD</t>
        </is>
      </c>
      <c r="D304" s="16" t="inlineStr">
        <is>
          <t>Intermediate</t>
        </is>
      </c>
      <c r="E304" s="13" t="inlineStr">
        <is>
          <t>What is a cold start and how do you reduce it?</t>
        </is>
      </c>
      <c r="F304" s="13" t="inlineStr">
        <is>
          <t>A cold start is the extra latency when the platform must create a new execution environment: download the code, start the runtime and run initialization before handling the request. For .NET it can be hundreds of milliseconds to seconds. Mitigations: provisioned concurrency, smaller packages, Native AOT or ReadyToRun compilation, SnapStart where supported, lazy initialization of heavy dependencies, and avoiding VPC or large DI setups in the hot path.</t>
        </is>
      </c>
      <c r="G304" s="13" t="inlineStr"/>
    </row>
    <row r="305">
      <c r="A305" s="13" t="n">
        <v>26</v>
      </c>
      <c r="B305" s="24" t="n">
        <v>46318</v>
      </c>
      <c r="C305" s="13" t="inlineStr">
        <is>
          <t>HLD</t>
        </is>
      </c>
      <c r="D305" s="16" t="inlineStr">
        <is>
          <t>Intermediate</t>
        </is>
      </c>
      <c r="E305" s="13" t="inlineStr">
        <is>
          <t>When is serverless a good fit and when is it not?</t>
        </is>
      </c>
      <c r="F305" s="13" t="inlineStr">
        <is>
          <t>Good fit: spiky or unpredictable traffic, event-driven work (S3 upload triggers, queue consumers, cron jobs, webhooks), low-traffic APIs and prototypes. Poor fit: steady high-throughput services where reserved servers are cheaper, long-running jobs beyond time limits, workloads needing persistent connections or in-memory state, and strict low-latency APIs sensitive to cold starts.</t>
        </is>
      </c>
      <c r="G305" s="13" t="inlineStr"/>
    </row>
    <row r="306">
      <c r="A306" s="13" t="n">
        <v>26</v>
      </c>
      <c r="B306" s="24" t="n">
        <v>46318</v>
      </c>
      <c r="C306" s="13" t="inlineStr">
        <is>
          <t>HLD</t>
        </is>
      </c>
      <c r="D306" s="17" t="inlineStr">
        <is>
          <t>Advanced</t>
        </is>
      </c>
      <c r="E306" s="13" t="inlineStr">
        <is>
          <t>What are the common pitfalls when a Lambda talks to a relational database?</t>
        </is>
      </c>
      <c r="F306" s="13" t="inlineStr">
        <is>
          <t>Each concurrent Lambda instance opens its own connections, so a traffic spike can exhaust the database's connection limit. Mitigations: RDS Proxy to pool connections, reuse connections across invocations by creating them outside the handler, cap concurrency with reserved concurrency, or use a serverless-friendly database like DynamoDB or Aurora Serverless with the Data API. Also account for VPC networking and cold start costs.</t>
        </is>
      </c>
      <c r="G306" s="13" t="inlineStr"/>
    </row>
    <row r="307">
      <c r="A307" s="13" t="n">
        <v>26</v>
      </c>
      <c r="B307" s="24" t="n">
        <v>46318</v>
      </c>
      <c r="C307" s="13" t="inlineStr">
        <is>
          <t>HLD</t>
        </is>
      </c>
      <c r="D307" s="17" t="inlineStr">
        <is>
          <t>Advanced</t>
        </is>
      </c>
      <c r="E307" s="13" t="inlineStr">
        <is>
          <t>Compare serverless functions, containers (ECS/Kubernetes) and VMs for a backend service.</t>
        </is>
      </c>
      <c r="F307" s="13" t="inlineStr">
        <is>
          <t>- VMs (EC2): full control, you manage OS and scaling; best for legacy or special needs.
- Containers: portable, consistent environments, good for long-running services and steady load; orchestration adds operational work (Fargate reduces it).
- Serverless functions: least operations, per-request billing and scale to zero; limits on duration, state and cold starts.
Many systems mix them: containers for core APIs, functions for event processing and scheduled jobs.</t>
        </is>
      </c>
      <c r="G307" s="13" t="inlineStr"/>
    </row>
    <row r="308">
      <c r="A308" s="13" t="n">
        <v>26</v>
      </c>
      <c r="B308" s="24" t="n">
        <v>46318</v>
      </c>
      <c r="C308" s="13" t="inlineStr">
        <is>
          <t>LLD</t>
        </is>
      </c>
      <c r="D308" s="18" t="inlineStr">
        <is>
          <t>Basic</t>
        </is>
      </c>
      <c r="E308" s="13" t="inlineStr">
        <is>
          <t>What is the Template Method pattern?</t>
        </is>
      </c>
      <c r="F308" s="13" t="inlineStr">
        <is>
          <t>Template Method defines the skeleton of an algorithm in a base class method and lets subclasses override specific steps without changing the overall structure. The template method is usually non-virtual so the order of steps is fixed, while steps are abstract (must override) or virtual hooks (optional override). It follows the Hollywood principle: the base class calls the subclass.</t>
        </is>
      </c>
      <c r="G308" s="13" t="inlineStr"/>
    </row>
    <row r="309">
      <c r="A309" s="13" t="n">
        <v>26</v>
      </c>
      <c r="B309" s="24" t="n">
        <v>46318</v>
      </c>
      <c r="C309" s="13" t="inlineStr">
        <is>
          <t>LLD</t>
        </is>
      </c>
      <c r="D309" s="18" t="inlineStr">
        <is>
          <t>Basic</t>
        </is>
      </c>
      <c r="E309" s="13" t="inlineStr">
        <is>
          <t>Give real examples of Template Method in .NET.</t>
        </is>
      </c>
      <c r="F309" s="13" t="inlineStr">
        <is>
          <t>- BackgroundService: StartAsync/StopAsync are fixed, you override ExecuteAsync.
- ASP.NET Core ControllerBase and filters with OnActionExecuting / OnActionExecuted hooks.
- Stream: base methods like CopyTo call your overridden Read/Write.
- DbContext: you override OnModelCreating and OnConfiguring inside EF Core's fixed setup.
- Test frameworks with setup and teardown hooks.</t>
        </is>
      </c>
      <c r="G309" s="13" t="inlineStr"/>
    </row>
    <row r="310">
      <c r="A310" s="13" t="n">
        <v>26</v>
      </c>
      <c r="B310" s="24" t="n">
        <v>46318</v>
      </c>
      <c r="C310" s="13" t="inlineStr">
        <is>
          <t>LLD</t>
        </is>
      </c>
      <c r="D310" s="16" t="inlineStr">
        <is>
          <t>Intermediate</t>
        </is>
      </c>
      <c r="E310" s="13" t="inlineStr">
        <is>
          <t>Implement a data import job using the Template Method pattern.</t>
        </is>
      </c>
      <c r="F310" s="13" t="inlineStr">
        <is>
          <t>```csharp
public abstract class ImportJob&lt;T&gt; {
    public async Task RunAsync() {             // the template method
        var raw = await ReadAsync();
        var items = Parse(raw);
        var valid = items.Where(Validate).ToList();
        await SaveAsync(valid);
        OnCompleted(valid.Count); }            // optional hook
    protected abstract Task&lt;string&gt; ReadAsync();
    protected abstract IEnumerable&lt;T&gt; Parse(string raw);
    protected virtual bool Validate(T item) =&gt; true; protected abstract Task SaveAsync(IEnumerable&lt;T&gt; items);
    protected virtual void OnCompleted(int count) { }
}
```
CsvProductImport and JsonOrderImport override only the steps that differ.</t>
        </is>
      </c>
      <c r="G310" s="13" t="inlineStr"/>
    </row>
    <row r="311">
      <c r="A311" s="13" t="n">
        <v>26</v>
      </c>
      <c r="B311" s="24" t="n">
        <v>46318</v>
      </c>
      <c r="C311" s="13" t="inlineStr">
        <is>
          <t>LLD</t>
        </is>
      </c>
      <c r="D311" s="16" t="inlineStr">
        <is>
          <t>Intermediate</t>
        </is>
      </c>
      <c r="E311" s="13" t="inlineStr">
        <is>
          <t>What is the difference between abstract steps and hook methods?</t>
        </is>
      </c>
      <c r="F311" s="13" t="inlineStr">
        <is>
          <t>Abstract steps must be implemented by every subclass because the algorithm cannot work without them, like reading or parsing. Hooks are virtual methods with a default (often empty) implementation that subclasses may override to add optional behaviour, like OnCompleted or a Validate that defaults to true. Hooks give extension points without forcing every subclass to write boilerplate.</t>
        </is>
      </c>
      <c r="G311" s="13" t="inlineStr"/>
    </row>
    <row r="312">
      <c r="A312" s="13" t="n">
        <v>26</v>
      </c>
      <c r="B312" s="24" t="n">
        <v>46318</v>
      </c>
      <c r="C312" s="13" t="inlineStr">
        <is>
          <t>LLD</t>
        </is>
      </c>
      <c r="D312" s="17" t="inlineStr">
        <is>
          <t>Advanced</t>
        </is>
      </c>
      <c r="E312" s="13" t="inlineStr">
        <is>
          <t>Template Method vs Strategy: which would you choose and why?</t>
        </is>
      </c>
      <c r="F312" s="13" t="inlineStr">
        <is>
          <t>Template Method uses inheritance: the variation is fixed at compile time per subclass, and it fits when many variants share a fixed algorithm skeleton with a few differing steps. Strategy uses composition: the varying behaviour is injected and can change at runtime or be combined, which is easier to unit test and avoids deep hierarchies. Modern C# favors Strategy with DI, but Template Method is clean when the skeleton really is fixed, as in BackgroundService.</t>
        </is>
      </c>
      <c r="G312" s="13" t="inlineStr"/>
    </row>
    <row r="313">
      <c r="A313" s="13" t="n">
        <v>26</v>
      </c>
      <c r="B313" s="24" t="n">
        <v>46318</v>
      </c>
      <c r="C313" s="13" t="inlineStr">
        <is>
          <t>LLD</t>
        </is>
      </c>
      <c r="D313" s="17" t="inlineStr">
        <is>
          <t>Advanced</t>
        </is>
      </c>
      <c r="E313" s="13" t="inlineStr">
        <is>
          <t>What are the drawbacks of Template Method and how do you mitigate them?</t>
        </is>
      </c>
      <c r="F313" s="13" t="inlineStr">
        <is>
          <t>It creates tight coupling between base and subclasses (fragile base class problem): changes to the base template can break subclasses, and subclasses may depend on base internals. Deep hierarchies become hard to follow, and it can violate Liskov if subclasses change step semantics. Mitigate by keeping the template method non-virtual, exposing only protected steps, keeping hierarchies one level deep and preferring composition when steps vary independently.</t>
        </is>
      </c>
      <c r="G313" s="13" t="inlineStr"/>
    </row>
    <row r="314">
      <c r="A314" s="13" t="n">
        <v>27</v>
      </c>
      <c r="B314" s="24" t="n">
        <v>46319</v>
      </c>
      <c r="C314" s="13" t="inlineStr">
        <is>
          <t>HLD</t>
        </is>
      </c>
      <c r="D314" s="18" t="inlineStr">
        <is>
          <t>Basic</t>
        </is>
      </c>
      <c r="E314" s="13" t="inlineStr">
        <is>
          <t>Why store uploaded images in object storage instead of the database?</t>
        </is>
      </c>
      <c r="F314" s="13" t="inlineStr">
        <is>
          <t>Object storage (S3, Azure Blob) is cheap, virtually unlimited, highly durable (eleven nines on S3) and built for large binary files, and it integrates with CDNs. Storing blobs in a relational DB bloats it, slows backups and replication, and wastes expensive DB I/O. The database stores only metadata: image ID, owner, object key, size, content type, status and thumbnail keys.</t>
        </is>
      </c>
      <c r="G314" s="13" t="inlineStr"/>
    </row>
    <row r="315">
      <c r="A315" s="13" t="n">
        <v>27</v>
      </c>
      <c r="B315" s="24" t="n">
        <v>46319</v>
      </c>
      <c r="C315" s="13" t="inlineStr">
        <is>
          <t>HLD</t>
        </is>
      </c>
      <c r="D315" s="18" t="inlineStr">
        <is>
          <t>Basic</t>
        </is>
      </c>
      <c r="E315" s="13" t="inlineStr">
        <is>
          <t>Why generate thumbnails asynchronously instead of in the upload request?</t>
        </is>
      </c>
      <c r="F315" s="13" t="inlineStr">
        <is>
          <t>Resizing is CPU-heavy and slow, so doing it in the request increases latency and ties up API servers, and a spike of uploads could overload them. Asynchronously, the upload returns quickly, processing workers scale independently, and failures can be retried without the user re-uploading. The UI shows a placeholder or processing status until thumbnails are ready.</t>
        </is>
      </c>
      <c r="G315" s="13" t="inlineStr"/>
    </row>
    <row r="316">
      <c r="A316" s="13" t="n">
        <v>27</v>
      </c>
      <c r="B316" s="24" t="n">
        <v>46319</v>
      </c>
      <c r="C316" s="13" t="inlineStr">
        <is>
          <t>HLD</t>
        </is>
      </c>
      <c r="D316" s="16" t="inlineStr">
        <is>
          <t>Intermediate</t>
        </is>
      </c>
      <c r="E316" s="13" t="inlineStr">
        <is>
          <t>Walk through the end-to-end flow of the image upload and thumbnail pipeline.</t>
        </is>
      </c>
      <c r="F316" s="13" t="inlineStr">
        <is>
          <t>- Client asks the API for an upload URL; API creates a metadata row (status = Pending) and returns a pre-signed S3 URL.
- Client uploads directly to S3.
- S3 emits an event (to SQS, SNS or EventBridge) which triggers a worker or Lambda.
- Worker downloads the original, validates it, generates thumbnails in several sizes and writes them to S3.
- Worker updates metadata (status = Ready, thumbnail keys).
- Images are served through CloudFront using the object keys.</t>
        </is>
      </c>
      <c r="G316" s="13" t="inlineStr"/>
    </row>
    <row r="317">
      <c r="A317" s="13" t="n">
        <v>27</v>
      </c>
      <c r="B317" s="24" t="n">
        <v>46319</v>
      </c>
      <c r="C317" s="13" t="inlineStr">
        <is>
          <t>HLD</t>
        </is>
      </c>
      <c r="D317" s="16" t="inlineStr">
        <is>
          <t>Intermediate</t>
        </is>
      </c>
      <c r="E317" s="13" t="inlineStr">
        <is>
          <t>What are pre-signed URLs and why use them for uploads?</t>
        </is>
      </c>
      <c r="F317" s="13" t="inlineStr">
        <is>
          <t>A pre-signed URL is a time-limited URL signed with the backend's credentials that allows a client to PUT (or GET) one specific object without having AWS credentials. It lets clients upload directly to S3, so large files do not flow through API servers, saving bandwidth and compute. The API controls the key, content type, size limits and expiry, and authorizes the user before issuing it.</t>
        </is>
      </c>
      <c r="G317" s="13" t="inlineStr"/>
    </row>
    <row r="318">
      <c r="A318" s="13" t="n">
        <v>27</v>
      </c>
      <c r="B318" s="24" t="n">
        <v>46319</v>
      </c>
      <c r="C318" s="13" t="inlineStr">
        <is>
          <t>HLD</t>
        </is>
      </c>
      <c r="D318" s="17" t="inlineStr">
        <is>
          <t>Advanced</t>
        </is>
      </c>
      <c r="E318" s="13" t="inlineStr">
        <is>
          <t>How do you make the thumbnail processing reliable and idempotent?</t>
        </is>
      </c>
      <c r="F318" s="13" t="inlineStr">
        <is>
          <t>Put S3 events into an SQS queue rather than invoking processing directly, so there is buffering, retries and a DLQ. Use deterministic output keys (thumbnails/{imageId}/200x200.jpg) so reprocessing just overwrites the same objects, and conditional metadata updates (only move Pending -&gt; Ready). Validate input (file type by magic bytes, max dimensions) and send corrupt files to a failed state instead of retrying forever. A periodic reconciler finds images stuck in Pending and re-queues them.</t>
        </is>
      </c>
      <c r="G318" s="13" t="inlineStr"/>
    </row>
    <row r="319">
      <c r="A319" s="13" t="n">
        <v>27</v>
      </c>
      <c r="B319" s="24" t="n">
        <v>46319</v>
      </c>
      <c r="C319" s="13" t="inlineStr">
        <is>
          <t>HLD</t>
        </is>
      </c>
      <c r="D319" s="17" t="inlineStr">
        <is>
          <t>Advanced</t>
        </is>
      </c>
      <c r="E319" s="13" t="inlineStr">
        <is>
          <t>How would you scale and secure the pipeline for millions of uploads per day?</t>
        </is>
      </c>
      <c r="F319" s="13" t="inlineStr">
        <is>
          <t>Scale: autoscale workers on queue depth, use Lambda concurrency or container workers, process sizes in parallel, and serve all images through a CDN with long TTLs and versioned keys. Store originals in cheaper storage tiers via lifecycle rules. Security: validate content type and size in the pre-signed policy, scan for malware, strip EXIF metadata such as GPS, keep the bucket private with CDN access through Origin Access Control, and use signed URLs for private images.</t>
        </is>
      </c>
      <c r="G319" s="13" t="inlineStr"/>
    </row>
    <row r="320">
      <c r="A320" s="13" t="n">
        <v>27</v>
      </c>
      <c r="B320" s="24" t="n">
        <v>46319</v>
      </c>
      <c r="C320" s="13" t="inlineStr">
        <is>
          <t>LLD</t>
        </is>
      </c>
      <c r="D320" s="18" t="inlineStr">
        <is>
          <t>Basic</t>
        </is>
      </c>
      <c r="E320" s="13" t="inlineStr">
        <is>
          <t>What is the Chain of Responsibility pattern?</t>
        </is>
      </c>
      <c r="F320" s="13" t="inlineStr">
        <is>
          <t>Chain of Responsibility passes a request along a chain of handlers; each handler either processes it, passes it to the next, or stops the chain. The sender does not know which handler will do the work, and handlers can be added, removed or reordered without changing the others. Common uses are processing pipelines, validation and approval workflows.</t>
        </is>
      </c>
      <c r="G320" s="13" t="inlineStr"/>
    </row>
    <row r="321">
      <c r="A321" s="13" t="n">
        <v>27</v>
      </c>
      <c r="B321" s="24" t="n">
        <v>46319</v>
      </c>
      <c r="C321" s="13" t="inlineStr">
        <is>
          <t>LLD</t>
        </is>
      </c>
      <c r="D321" s="18" t="inlineStr">
        <is>
          <t>Basic</t>
        </is>
      </c>
      <c r="E321" s="13" t="inlineStr">
        <is>
          <t>Where do you see Chain of Responsibility in ASP.NET Core?</t>
        </is>
      </c>
      <c r="F321" s="13" t="inlineStr">
        <is>
          <t>The middleware pipeline is the classic example: each middleware receives HttpContext and a next delegate, does work before and after calling await next(context), or short-circuits by writing a response (for example authentication returning 401). HttpClient DelegatingHandlers form a chain for outgoing requests, and MediatR pipeline behaviors are another chain around handlers.</t>
        </is>
      </c>
      <c r="G321" s="13" t="inlineStr"/>
    </row>
    <row r="322">
      <c r="A322" s="13" t="n">
        <v>27</v>
      </c>
      <c r="B322" s="24" t="n">
        <v>46319</v>
      </c>
      <c r="C322" s="13" t="inlineStr">
        <is>
          <t>LLD</t>
        </is>
      </c>
      <c r="D322" s="16" t="inlineStr">
        <is>
          <t>Intermediate</t>
        </is>
      </c>
      <c r="E322" s="13" t="inlineStr">
        <is>
          <t>Implement an image processing chain in C#.</t>
        </is>
      </c>
      <c r="F322" s="13" t="inlineStr">
        <is>
          <t>```csharp
public abstract class ImageStep {
    private ImageStep? _next;
    public ImageStep SetNext(ImageStep next) { _next = next; return next; }
    public virtual async Task HandleAsync(ImageContext ctx) { if (_next != null) await _next.HandleAsync(ctx); }
}
public class ValidateStep : ImageStep {
    public override Task HandleAsync(ImageContext ctx) {
        if (ctx.SizeBytes &gt; 10_000_000) { ctx.Failed = true; return Task.CompletedTask; }
        return base.HandleAsync(ctx); } // pass along
}
// validate.SetNext(new StripExifStep()).SetNext(new ResizeStep()).SetNext(new UploadStep());
```
ValidateStep stops the chain for oversized files.</t>
        </is>
      </c>
      <c r="G322" s="13" t="inlineStr"/>
    </row>
    <row r="323">
      <c r="A323" s="13" t="n">
        <v>27</v>
      </c>
      <c r="B323" s="24" t="n">
        <v>46319</v>
      </c>
      <c r="C323" s="13" t="inlineStr">
        <is>
          <t>LLD</t>
        </is>
      </c>
      <c r="D323" s="16" t="inlineStr">
        <is>
          <t>Intermediate</t>
        </is>
      </c>
      <c r="E323" s="13" t="inlineStr">
        <is>
          <t>Should a handler in the chain be able to stop processing? What are the two variants?</t>
        </is>
      </c>
      <c r="F323" s="13" t="inlineStr">
        <is>
          <t>Yes. In the classic variant exactly one handler handles the request and the rest are skipped, such as approval by the first manager with enough authority. In the pipeline variant every handler does its part and passes it on, but any handler can short-circuit on failure, like validation rejecting a file. Document which variant you use, and decide what happens if the request reaches the end unhandled.</t>
        </is>
      </c>
      <c r="G323" s="13" t="inlineStr"/>
    </row>
    <row r="324">
      <c r="A324" s="13" t="n">
        <v>27</v>
      </c>
      <c r="B324" s="24" t="n">
        <v>46319</v>
      </c>
      <c r="C324" s="13" t="inlineStr">
        <is>
          <t>LLD</t>
        </is>
      </c>
      <c r="D324" s="17" t="inlineStr">
        <is>
          <t>Advanced</t>
        </is>
      </c>
      <c r="E324" s="13" t="inlineStr">
        <is>
          <t>How would you build the chain from DI configuration instead of hard-coding it?</t>
        </is>
      </c>
      <c r="F324" s="13" t="inlineStr">
        <is>
          <t>Define IImageStep { Task InvokeAsync(ImageContext ctx, Func&lt;Task&gt; next); } similar to middleware. Register steps in order (services.AddTransient&lt;IImageStep, ValidateStep&gt;() and so on) and have a pipeline builder take IEnumerable&lt;IImageStep&gt;, which DI returns in registration order, folding them into nested delegates from the last step to the first. Ordering can also come from config, allowing features like watermarking to be toggled without code changes.</t>
        </is>
      </c>
      <c r="G324" s="13" t="inlineStr"/>
    </row>
    <row r="325">
      <c r="A325" s="13" t="n">
        <v>27</v>
      </c>
      <c r="B325" s="24" t="n">
        <v>46319</v>
      </c>
      <c r="C325" s="13" t="inlineStr">
        <is>
          <t>LLD</t>
        </is>
      </c>
      <c r="D325" s="17" t="inlineStr">
        <is>
          <t>Advanced</t>
        </is>
      </c>
      <c r="E325" s="13" t="inlineStr">
        <is>
          <t>Chain of Responsibility vs Decorator: what is the difference?</t>
        </is>
      </c>
      <c r="F325" s="13" t="inlineStr">
        <is>
          <t>Both link objects that forward calls. Decorators share the component interface, all of them always run and add behaviour, and the wrapped core component always executes at the end. In Chain of Responsibility handlers may stop the request, any handler may be the one that handles it, and there may be no final core object. The middleware pipeline blends both: each middleware wraps the next like a decorator but can short-circuit like a chain.</t>
        </is>
      </c>
      <c r="G325" s="13" t="inlineStr"/>
    </row>
    <row r="326">
      <c r="A326" s="13" t="n">
        <v>28</v>
      </c>
      <c r="B326" s="24" t="n">
        <v>46320</v>
      </c>
      <c r="C326" s="13" t="inlineStr">
        <is>
          <t>HLD</t>
        </is>
      </c>
      <c r="D326" s="18" t="inlineStr">
        <is>
          <t>Basic</t>
        </is>
      </c>
      <c r="E326" s="13" t="inlineStr">
        <is>
          <t>Rapid fire: draw the basic 3-tier architecture and name each component's job.</t>
        </is>
      </c>
      <c r="F326" s="13" t="inlineStr">
        <is>
          <t>Client -&gt; DNS -&gt; CDN for static assets -&gt; load balancer (distributes traffic, health checks, TLS) -&gt; stateless app servers in an auto-scaling group -&gt; cache (Redis) for hot reads -&gt; primary database with read replicas. Sessions live in Redis or tokens, not server memory, so any instance can serve any request. Async work goes through a queue to background workers.</t>
        </is>
      </c>
      <c r="G326" s="13" t="inlineStr"/>
    </row>
    <row r="327">
      <c r="A327" s="13" t="n">
        <v>28</v>
      </c>
      <c r="B327" s="24" t="n">
        <v>46320</v>
      </c>
      <c r="C327" s="13" t="inlineStr">
        <is>
          <t>HLD</t>
        </is>
      </c>
      <c r="D327" s="18" t="inlineStr">
        <is>
          <t>Basic</t>
        </is>
      </c>
      <c r="E327" s="13" t="inlineStr">
        <is>
          <t>Rapid fire: scaling concepts from Phase 1 in one line each.</t>
        </is>
      </c>
      <c r="F327" s="13" t="inlineStr">
        <is>
          <t>- Vertical scaling: bigger machine, simple but limited and a single point of failure.
- Horizontal scaling: more machines behind a load balancer, needs stateless servers.
- Replication: copies for read scaling and failover, with replica lag.
- Sharding: split data by key for write scaling, watch hot spots.
- Caching: reduce latency and DB load, at the cost of staleness.
- Queues: decouple and absorb spikes, at the cost of eventual processing.</t>
        </is>
      </c>
      <c r="G327" s="13" t="inlineStr"/>
    </row>
    <row r="328">
      <c r="A328" s="13" t="n">
        <v>28</v>
      </c>
      <c r="B328" s="24" t="n">
        <v>46320</v>
      </c>
      <c r="C328" s="13" t="inlineStr">
        <is>
          <t>HLD</t>
        </is>
      </c>
      <c r="D328" s="16" t="inlineStr">
        <is>
          <t>Intermediate</t>
        </is>
      </c>
      <c r="E328" s="13" t="inlineStr">
        <is>
          <t>Rapid fire: SQL vs NoSQL, ACID and CAP in a few sentences.</t>
        </is>
      </c>
      <c r="F328" s="13" t="inlineStr">
        <is>
          <t>SQL gives schemas, joins and ACID transactions; pick it for relational data and strong consistency like orders and payments. NoSQL (key-value, document, wide-column) gives flexible schemas and easier horizontal scaling; pick it for huge scale and simple access patterns. ACID is per-transaction correctness in one database; CAP is about distributed systems choosing consistency or availability during a partition. Isolation levels trade anomalies (dirty, non-repeatable, phantom reads) for concurrency.</t>
        </is>
      </c>
      <c r="G328" s="13" t="inlineStr"/>
    </row>
    <row r="329">
      <c r="A329" s="13" t="n">
        <v>28</v>
      </c>
      <c r="B329" s="24" t="n">
        <v>46320</v>
      </c>
      <c r="C329" s="13" t="inlineStr">
        <is>
          <t>HLD</t>
        </is>
      </c>
      <c r="D329" s="16" t="inlineStr">
        <is>
          <t>Intermediate</t>
        </is>
      </c>
      <c r="E329" s="13" t="inlineStr">
        <is>
          <t>Re-draw the rate limiter and the queue-based async flow and name the key decisions.</t>
        </is>
      </c>
      <c r="F329" s="13" t="inlineStr">
        <is>
          <t>Rate limiter: gateway/middleware -&gt; Redis counters via atomic Lua (token bucket or sliding window counter) -&gt; allow or return 429 with Retry-After; decide key (user/IP), fail-open vs closed and local vs global limits. Async flow: API writes to DB and outbox -&gt; publisher -&gt; queue/topic -&gt; idempotent consumers with retries, backoff and a DLQ; decide ordering per key, at-least-once delivery and fan-out via pub/sub.</t>
        </is>
      </c>
      <c r="G329" s="13" t="inlineStr"/>
    </row>
    <row r="330">
      <c r="A330" s="13" t="n">
        <v>28</v>
      </c>
      <c r="B330" s="24" t="n">
        <v>46320</v>
      </c>
      <c r="C330" s="13" t="inlineStr">
        <is>
          <t>HLD</t>
        </is>
      </c>
      <c r="D330" s="17" t="inlineStr">
        <is>
          <t>Advanced</t>
        </is>
      </c>
      <c r="E330" s="13" t="inlineStr">
        <is>
          <t>Design question warm-up: an e-commerce product page gets 100x traffic during a sale. Which Phase 1 tools do you apply?</t>
        </is>
      </c>
      <c r="F330" s="13" t="inlineStr">
        <is>
          <t>- CDN for images and static assets, and short-TTL edge caching for public product JSON.
- Redis cache-aside for product details with TTL jitter and stampede protection on hot keys.
- Read replicas for listing queries; primary only for checkout writes.
- Horizontal auto-scaling of stateless app servers behind the load balancer.
- Rate limiting per user/IP at the gateway to stop bots.
- Queue for order confirmation emails and inventory events, with idempotent consumers.</t>
        </is>
      </c>
      <c r="G330" s="13" t="inlineStr"/>
    </row>
    <row r="331">
      <c r="A331" s="13" t="n">
        <v>28</v>
      </c>
      <c r="B331" s="24" t="n">
        <v>46320</v>
      </c>
      <c r="C331" s="13" t="inlineStr">
        <is>
          <t>HLD</t>
        </is>
      </c>
      <c r="D331" s="17" t="inlineStr">
        <is>
          <t>Advanced</t>
        </is>
      </c>
      <c r="E331" s="13" t="inlineStr">
        <is>
          <t>Rapid fire: common interview traps from Phase 1 and the correct answer.</t>
        </is>
      </c>
      <c r="F331" s="13" t="inlineStr">
        <is>
          <t>- Is POST idempotent? No, but you can make it idempotent with an idempotency key.
- Does adding an index always help? No, it slows writes and a composite index needs the leftmost prefix.
- Is replication a backup? No, it replicates mistakes too; you still need backups.
- Is exactly-once delivery free? No, use at-least-once plus idempotency.
- Cache update or delete on write? Delete, to avoid races.
- Sticky sessions for scaling? Prefer stateless servers with an external session store.</t>
        </is>
      </c>
      <c r="G331" s="13" t="inlineStr"/>
    </row>
    <row r="332">
      <c r="A332" s="13" t="n">
        <v>28</v>
      </c>
      <c r="B332" s="24" t="n">
        <v>46320</v>
      </c>
      <c r="C332" s="13" t="inlineStr">
        <is>
          <t>LLD</t>
        </is>
      </c>
      <c r="D332" s="18" t="inlineStr">
        <is>
          <t>Basic</t>
        </is>
      </c>
      <c r="E332" s="13" t="inlineStr">
        <is>
          <t>Rapid fire: the four OOP pillars and SOLID in one line each.</t>
        </is>
      </c>
      <c r="F332" s="13" t="inlineStr">
        <is>
          <t>- Encapsulation: hide state behind methods; Abstraction: expose what, hide how; Inheritance: reuse via is-a; Polymorphism: one interface, many implementations.
- S: one reason to change; O: extend without modifying; L: subtypes must be substitutable; I: small focused interfaces; D: depend on abstractions, not concretions.</t>
        </is>
      </c>
      <c r="G332" s="13" t="inlineStr"/>
    </row>
    <row r="333">
      <c r="A333" s="13" t="n">
        <v>28</v>
      </c>
      <c r="B333" s="24" t="n">
        <v>46320</v>
      </c>
      <c r="C333" s="13" t="inlineStr">
        <is>
          <t>LLD</t>
        </is>
      </c>
      <c r="D333" s="18" t="inlineStr">
        <is>
          <t>Basic</t>
        </is>
      </c>
      <c r="E333" s="13" t="inlineStr">
        <is>
          <t>Rapid fire: creational patterns covered so far, one line each.</t>
        </is>
      </c>
      <c r="F333" s="13" t="inlineStr">
        <is>
          <t>- Singleton: exactly one instance with global access; in .NET prefer DI AddSingleton or Lazy&lt;T&gt;.
- Factory: centralizes object creation so callers depend on an interface, not concrete classes.
- Builder: builds complex objects step by step with a fluent API, avoiding telescoping constructors.</t>
        </is>
      </c>
      <c r="G333" s="13" t="inlineStr"/>
    </row>
    <row r="334">
      <c r="A334" s="13" t="n">
        <v>28</v>
      </c>
      <c r="B334" s="24" t="n">
        <v>46320</v>
      </c>
      <c r="C334" s="13" t="inlineStr">
        <is>
          <t>LLD</t>
        </is>
      </c>
      <c r="D334" s="16" t="inlineStr">
        <is>
          <t>Intermediate</t>
        </is>
      </c>
      <c r="E334" s="13" t="inlineStr">
        <is>
          <t>Rapid fire: structural patterns covered so far, one line each.</t>
        </is>
      </c>
      <c r="F334" s="13" t="inlineStr">
        <is>
          <t>- Repository: collection-like abstraction over data access, hides EF/SQL from business logic.
- Decorator: wraps an object with the same interface to add behaviour (caching, logging), stackable.
- Proxy: same interface, controls access (lazy loading, security, remote).
- Coming next: Facade (simple front to a subsystem) and Adapter (convert one interface into another).</t>
        </is>
      </c>
      <c r="G334" s="13" t="inlineStr"/>
    </row>
    <row r="335">
      <c r="A335" s="13" t="n">
        <v>28</v>
      </c>
      <c r="B335" s="24" t="n">
        <v>46320</v>
      </c>
      <c r="C335" s="13" t="inlineStr">
        <is>
          <t>LLD</t>
        </is>
      </c>
      <c r="D335" s="16" t="inlineStr">
        <is>
          <t>Intermediate</t>
        </is>
      </c>
      <c r="E335" s="13" t="inlineStr">
        <is>
          <t>Rapid fire: behavioral patterns covered so far, one line each.</t>
        </is>
      </c>
      <c r="F335" s="13" t="inlineStr">
        <is>
          <t>- Strategy: interchangeable algorithms behind an interface, chosen at runtime (load balancing, shard key, channels).
- Observer: subject notifies subscribers on change (cache invalidation).
- Command: a request as an object that can be queued, retried or undone.
- Template Method: base class fixes algorithm skeleton, subclasses fill steps.
- Chain of Responsibility: request passes along handlers that process or stop it (middleware).</t>
        </is>
      </c>
      <c r="G335" s="13" t="inlineStr"/>
    </row>
    <row r="336">
      <c r="A336" s="13" t="n">
        <v>28</v>
      </c>
      <c r="B336" s="24" t="n">
        <v>46320</v>
      </c>
      <c r="C336" s="13" t="inlineStr">
        <is>
          <t>LLD</t>
        </is>
      </c>
      <c r="D336" s="17" t="inlineStr">
        <is>
          <t>Advanced</t>
        </is>
      </c>
      <c r="E336" s="13" t="inlineStr">
        <is>
          <t>An interviewer asks you to design a caching, retrying HTTP client for a payment provider. Which patterns do you combine and why?</t>
        </is>
      </c>
      <c r="F336" s="13" t="inlineStr">
        <is>
          <t>Define IPaymentGateway and implement it with an Adapter around the vendor SDK so the rest of the code does not depend on it. Add Decorators for retry with backoff, circuit breaking and logging, composed in DI (in .NET, DelegatingHandlers or Polly on HttpClient form the same chain). Use Strategy to pick the provider per country or failover, and a Factory to create the right gateway. Make requests idempotent with an idempotency key so retries are safe.</t>
        </is>
      </c>
      <c r="G336" s="13" t="inlineStr"/>
    </row>
    <row r="337">
      <c r="A337" s="13" t="n">
        <v>28</v>
      </c>
      <c r="B337" s="24" t="n">
        <v>46320</v>
      </c>
      <c r="C337" s="13" t="inlineStr">
        <is>
          <t>LLD</t>
        </is>
      </c>
      <c r="D337" s="17" t="inlineStr">
        <is>
          <t>Advanced</t>
        </is>
      </c>
      <c r="E337" s="13" t="inlineStr">
        <is>
          <t>Rapid fire: how do you choose between inheritance and composition, and which patterns reflect that choice?</t>
        </is>
      </c>
      <c r="F337" s="13" t="inlineStr">
        <is>
          <t>Favor composition by default: it allows runtime flexibility, easier testing with mocks and avoids fragile base classes; Strategy, Decorator, Observer and Chain of Responsibility are composition-based. Use inheritance only for a true is-a relationship with a stable, shared skeleton, as Template Method does, and keep hierarchies shallow. If a subclass must throw NotSupportedException for inherited methods, it violates Liskov and composition is the better fit.</t>
        </is>
      </c>
      <c r="G337" s="13" t="inlineStr"/>
    </row>
    <row r="338">
      <c r="A338" s="13" t="n">
        <v>29</v>
      </c>
      <c r="B338" s="24" t="n">
        <v>46321</v>
      </c>
      <c r="C338" s="13" t="inlineStr">
        <is>
          <t>HLD</t>
        </is>
      </c>
      <c r="D338" s="18" t="inlineStr">
        <is>
          <t>Basic</t>
        </is>
      </c>
      <c r="E338" s="13" t="inlineStr">
        <is>
          <t>What is an API gateway and what does it do?</t>
        </is>
      </c>
      <c r="F338" s="13" t="inlineStr">
        <is>
          <t>An API gateway is a single entry point in front of backend services. It handles cross-cutting concerns in one place: request routing to services, authentication and authorization, rate limiting and throttling, TLS termination, request/response transformation, caching, logging and metrics. Examples are AWS API Gateway, Kong, Azure API Management and YARP or Ocelot in .NET.</t>
        </is>
      </c>
      <c r="G338" s="13" t="inlineStr"/>
    </row>
    <row r="339">
      <c r="A339" s="13" t="n">
        <v>29</v>
      </c>
      <c r="B339" s="24" t="n">
        <v>46321</v>
      </c>
      <c r="C339" s="13" t="inlineStr">
        <is>
          <t>HLD</t>
        </is>
      </c>
      <c r="D339" s="18" t="inlineStr">
        <is>
          <t>Basic</t>
        </is>
      </c>
      <c r="E339" s="13" t="inlineStr">
        <is>
          <t>What is the difference between an API gateway and a load balancer?</t>
        </is>
      </c>
      <c r="F339" s="13" t="inlineStr">
        <is>
          <t>A load balancer distributes traffic across instances of the same service using algorithms like round robin, and works at L4 or L7. An API gateway is an L7 component that routes by path, host or headers to different services and adds API concerns such as auth, rate limiting, API keys, versioning and transformations. They are often used together: gateway in front, load balancers behind it for each service.</t>
        </is>
      </c>
      <c r="G339" s="13" t="inlineStr"/>
    </row>
    <row r="340">
      <c r="A340" s="13" t="n">
        <v>29</v>
      </c>
      <c r="B340" s="24" t="n">
        <v>46321</v>
      </c>
      <c r="C340" s="13" t="inlineStr">
        <is>
          <t>HLD</t>
        </is>
      </c>
      <c r="D340" s="16" t="inlineStr">
        <is>
          <t>Intermediate</t>
        </is>
      </c>
      <c r="E340" s="13" t="inlineStr">
        <is>
          <t>What is the Backend for Frontend (BFF) pattern and when do you use it?</t>
        </is>
      </c>
      <c r="F340" s="13" t="inlineStr">
        <is>
          <t>BFF means one dedicated backend per client type, such as web, mobile and partner APIs, each shaping responses for its client. The mobile BFF can aggregate several service calls into one response and return smaller payloads to save bandwidth, while the web BFF may return richer data and handle cookie-based sessions. Use it when clients have very different needs; the cost is more services to maintain and possible duplicated logic, which should live in downstream services.</t>
        </is>
      </c>
      <c r="G340" s="13" t="inlineStr"/>
    </row>
    <row r="341">
      <c r="A341" s="13" t="n">
        <v>29</v>
      </c>
      <c r="B341" s="24" t="n">
        <v>46321</v>
      </c>
      <c r="C341" s="13" t="inlineStr">
        <is>
          <t>HLD</t>
        </is>
      </c>
      <c r="D341" s="16" t="inlineStr">
        <is>
          <t>Intermediate</t>
        </is>
      </c>
      <c r="E341" s="13" t="inlineStr">
        <is>
          <t>Should authentication happen at the gateway or in each service?</t>
        </is>
      </c>
      <c r="F341" s="13" t="inlineStr">
        <is>
          <t>Common practice is both, with different depth. The gateway validates the JWT or session (signature, expiry, audience) and rejects bad requests early, so services do not repeat token plumbing. Services still enforce authorization (can this user access this order?) because they own the business rules, and should not blindly trust traffic in a zero-trust network. The gateway can forward verified claims in headers, protected by mTLS or network policies.</t>
        </is>
      </c>
      <c r="G341" s="13" t="inlineStr"/>
    </row>
    <row r="342">
      <c r="A342" s="13" t="n">
        <v>29</v>
      </c>
      <c r="B342" s="24" t="n">
        <v>46321</v>
      </c>
      <c r="C342" s="13" t="inlineStr">
        <is>
          <t>HLD</t>
        </is>
      </c>
      <c r="D342" s="17" t="inlineStr">
        <is>
          <t>Advanced</t>
        </is>
      </c>
      <c r="E342" s="13" t="inlineStr">
        <is>
          <t>What are the risks of an API gateway and how do you mitigate them?</t>
        </is>
      </c>
      <c r="F342" s="13" t="inlineStr">
        <is>
          <t>- Single point of failure: run multiple instances across AZs behind a load balancer.
- Extra latency hop: keep gateway logic lightweight and avoid heavy transformations.
- Bottleneck and scaling: autoscale and keep it stateless.
- Becoming a distributed monolith with business logic in it: keep it to cross-cutting concerns only.
- Team coupling on a shared config: use per-team routes, config as code, or BFFs.</t>
        </is>
      </c>
      <c r="G342" s="13" t="inlineStr"/>
    </row>
    <row r="343">
      <c r="A343" s="13" t="n">
        <v>29</v>
      </c>
      <c r="B343" s="24" t="n">
        <v>46321</v>
      </c>
      <c r="C343" s="13" t="inlineStr">
        <is>
          <t>HLD</t>
        </is>
      </c>
      <c r="D343" s="17" t="inlineStr">
        <is>
          <t>Advanced</t>
        </is>
      </c>
      <c r="E343" s="13" t="inlineStr">
        <is>
          <t>How does a gateway or BFF aggregate data from multiple services efficiently and resiliently?</t>
        </is>
      </c>
      <c r="F343" s="13" t="inlineStr">
        <is>
          <t>Call downstream services in parallel (Task.WhenAll) rather than sequentially, with per-call timeouts. Use circuit breakers and fallbacks so one failing service returns partial data (for example product page without reviews) instead of failing everything. Cache stable pieces, pass through correlation IDs for tracing, and consider GraphQL as an aggregation layer when clients need flexible queries.</t>
        </is>
      </c>
      <c r="G343" s="13" t="inlineStr"/>
    </row>
    <row r="344">
      <c r="A344" s="13" t="n">
        <v>29</v>
      </c>
      <c r="B344" s="24" t="n">
        <v>46321</v>
      </c>
      <c r="C344" s="13" t="inlineStr">
        <is>
          <t>LLD</t>
        </is>
      </c>
      <c r="D344" s="18" t="inlineStr">
        <is>
          <t>Basic</t>
        </is>
      </c>
      <c r="E344" s="13" t="inlineStr">
        <is>
          <t>What is the Facade pattern?</t>
        </is>
      </c>
      <c r="F344" s="13" t="inlineStr">
        <is>
          <t>Facade provides a simple, unified interface to a complex subsystem of classes. Clients call one high-level method instead of coordinating many objects themselves, which reduces coupling and duplication. The subsystem classes still exist and can be used directly when needed; the facade just simplifies common workflows.</t>
        </is>
      </c>
      <c r="G344" s="13" t="inlineStr"/>
    </row>
    <row r="345">
      <c r="A345" s="13" t="n">
        <v>29</v>
      </c>
      <c r="B345" s="24" t="n">
        <v>46321</v>
      </c>
      <c r="C345" s="13" t="inlineStr">
        <is>
          <t>LLD</t>
        </is>
      </c>
      <c r="D345" s="18" t="inlineStr">
        <is>
          <t>Basic</t>
        </is>
      </c>
      <c r="E345" s="13" t="inlineStr">
        <is>
          <t>Give a real-world example of a Facade in a backend application.</t>
        </is>
      </c>
      <c r="F345" s="13" t="inlineStr">
        <is>
          <t>An OrderFacade.PlaceOrderAsync(cart, user) that internally validates the cart, checks inventory, calculates price and tax, charges payment, creates the order and sends a confirmation. The controller calls one method instead of five services. In .NET, WebApplication.CreateBuilder and HttpClient are facades over lots of configuration and networking classes.</t>
        </is>
      </c>
      <c r="G345" s="13" t="inlineStr"/>
    </row>
    <row r="346">
      <c r="A346" s="13" t="n">
        <v>29</v>
      </c>
      <c r="B346" s="24" t="n">
        <v>46321</v>
      </c>
      <c r="C346" s="13" t="inlineStr">
        <is>
          <t>LLD</t>
        </is>
      </c>
      <c r="D346" s="16" t="inlineStr">
        <is>
          <t>Intermediate</t>
        </is>
      </c>
      <c r="E346" s="13" t="inlineStr">
        <is>
          <t>Implement a checkout facade in C#.</t>
        </is>
      </c>
      <c r="F346" s="13" t="inlineStr">
        <is>
          <t>```csharp
public class CheckoutFacade(IInventoryService inventory, IPaymentService payment,
                            IOrderRepository orders, INotificationService notify) {
    public async Task&lt;Order&gt; PlaceOrderAsync(Cart cart, Guid userId) {
        await inventory.ReserveAsync(cart.Items);
        var charge = await payment.ChargeAsync(userId, cart.Total);
        var order = new Order(userId, cart.Items, charge.Id);
        await orders.AddAsync(order);
        await notify.OrderPlacedAsync(order);
        return order;
    }
}
```
The controller only depends on CheckoutFacade, and compensation on failure can be added in one place.</t>
        </is>
      </c>
      <c r="G346" s="13" t="inlineStr"/>
    </row>
    <row r="347">
      <c r="A347" s="13" t="n">
        <v>29</v>
      </c>
      <c r="B347" s="24" t="n">
        <v>46321</v>
      </c>
      <c r="C347" s="13" t="inlineStr">
        <is>
          <t>LLD</t>
        </is>
      </c>
      <c r="D347" s="16" t="inlineStr">
        <is>
          <t>Intermediate</t>
        </is>
      </c>
      <c r="E347" s="13" t="inlineStr">
        <is>
          <t>How is a Facade related to an API gateway or BFF?</t>
        </is>
      </c>
      <c r="F347" s="13" t="inlineStr">
        <is>
          <t>An API gateway or BFF is the Facade idea at the architecture level: it gives clients a simple interface over many microservices, hiding how requests are routed and aggregated. In code, a Facade class hides a subsystem of objects; in architecture, a gateway hides a subsystem of services. Both reduce client coupling and both risk becoming too large if business logic accumulates in them.</t>
        </is>
      </c>
      <c r="G347" s="13" t="inlineStr"/>
    </row>
    <row r="348">
      <c r="A348" s="13" t="n">
        <v>29</v>
      </c>
      <c r="B348" s="24" t="n">
        <v>46321</v>
      </c>
      <c r="C348" s="13" t="inlineStr">
        <is>
          <t>LLD</t>
        </is>
      </c>
      <c r="D348" s="17" t="inlineStr">
        <is>
          <t>Advanced</t>
        </is>
      </c>
      <c r="E348" s="13" t="inlineStr">
        <is>
          <t>Facade vs Adapter vs Mediator: how do you differentiate them?</t>
        </is>
      </c>
      <c r="F348" s="13" t="inlineStr">
        <is>
          <t>- Facade: defines a new, simpler interface over many classes; subsystem classes do not know the facade.
- Adapter: makes one existing class fit an interface a client expects; it converts, it does not simplify.
- Mediator: centralizes communication between peer objects that know the mediator and talk through it (MediatR, chat room).
Facade is one-directional simplification; Mediator is two-way coordination.</t>
        </is>
      </c>
      <c r="G348" s="13" t="inlineStr"/>
    </row>
    <row r="349">
      <c r="A349" s="13" t="n">
        <v>29</v>
      </c>
      <c r="B349" s="24" t="n">
        <v>46321</v>
      </c>
      <c r="C349" s="13" t="inlineStr">
        <is>
          <t>LLD</t>
        </is>
      </c>
      <c r="D349" s="17" t="inlineStr">
        <is>
          <t>Advanced</t>
        </is>
      </c>
      <c r="E349" s="13" t="inlineStr">
        <is>
          <t>What is the risk of a god-object facade and how do you prevent it?</t>
        </is>
      </c>
      <c r="F349" s="13" t="inlineStr">
        <is>
          <t>A facade that keeps absorbing methods for every use case becomes a god class with many reasons to change, violating SRP and making testing hard. Keep facades per use case or bounded context (CheckoutFacade, ReturnsFacade), keep them thin by delegating to domain services, and avoid putting business rules inside them. Do not force every client through the facade; allow direct subsystem use when finer control is needed.</t>
        </is>
      </c>
      <c r="G349" s="13" t="inlineStr"/>
    </row>
    <row r="350">
      <c r="A350" s="13" t="n">
        <v>30</v>
      </c>
      <c r="B350" s="24" t="n">
        <v>46322</v>
      </c>
      <c r="C350" s="13" t="inlineStr">
        <is>
          <t>HLD</t>
        </is>
      </c>
      <c r="D350" s="18" t="inlineStr">
        <is>
          <t>Basic</t>
        </is>
      </c>
      <c r="E350" s="13" t="inlineStr">
        <is>
          <t>What is the difference between a monolith and microservices?</t>
        </is>
      </c>
      <c r="F350" s="13" t="inlineStr">
        <is>
          <t>A monolith is one deployable unit containing all features, usually with one database; it is simple to develop, test and deploy early on but grows harder to scale and change as teams grow. Microservices split the system into small, independently deployable services around business capabilities, each owning its data; they allow independent scaling and team autonomy but add network calls, distributed data and operational complexity.</t>
        </is>
      </c>
      <c r="G350" s="13" t="inlineStr"/>
    </row>
    <row r="351">
      <c r="A351" s="13" t="n">
        <v>30</v>
      </c>
      <c r="B351" s="24" t="n">
        <v>46322</v>
      </c>
      <c r="C351" s="13" t="inlineStr">
        <is>
          <t>HLD</t>
        </is>
      </c>
      <c r="D351" s="18" t="inlineStr">
        <is>
          <t>Basic</t>
        </is>
      </c>
      <c r="E351" s="13" t="inlineStr">
        <is>
          <t>Why do many experts recommend starting with a monolith?</t>
        </is>
      </c>
      <c r="F351" s="13" t="inlineStr">
        <is>
          <t>Early on the domain is not well understood, and wrong service boundaries are very expensive to fix across network and data boundaries. A monolith is faster to build, easier to debug and cheaper to run for a small team. Build a modular monolith with clear module boundaries and extract services later when there is a real need: independent scaling, independent deploy cadence or team ownership.</t>
        </is>
      </c>
      <c r="G351" s="13" t="inlineStr"/>
    </row>
    <row r="352">
      <c r="A352" s="13" t="n">
        <v>30</v>
      </c>
      <c r="B352" s="24" t="n">
        <v>46322</v>
      </c>
      <c r="C352" s="13" t="inlineStr">
        <is>
          <t>HLD</t>
        </is>
      </c>
      <c r="D352" s="16" t="inlineStr">
        <is>
          <t>Intermediate</t>
        </is>
      </c>
      <c r="E352" s="13" t="inlineStr">
        <is>
          <t>How do you decide service boundaries?</t>
        </is>
      </c>
      <c r="F352" s="13" t="inlineStr">
        <is>
          <t>Split by business capability or DDD bounded context (Orders, Payments, Catalog, Shipping), not by technical layer (a UI service, a DB service). A good service has high cohesion, owns its data and can do most of its work without calling others synchronously. Signs of bad boundaries: services that always deploy together, chatty calls between them and shared tables. Conway's law suggests aligning services with team structure.</t>
        </is>
      </c>
      <c r="G352" s="13" t="inlineStr"/>
    </row>
    <row r="353">
      <c r="A353" s="13" t="n">
        <v>30</v>
      </c>
      <c r="B353" s="24" t="n">
        <v>46322</v>
      </c>
      <c r="C353" s="13" t="inlineStr">
        <is>
          <t>HLD</t>
        </is>
      </c>
      <c r="D353" s="16" t="inlineStr">
        <is>
          <t>Intermediate</t>
        </is>
      </c>
      <c r="E353" s="13" t="inlineStr">
        <is>
          <t>Compare synchronous (REST/gRPC) and asynchronous (messaging) communication between services.</t>
        </is>
      </c>
      <c r="F353" s="13" t="inlineStr">
        <is>
          <t>Sync calls are simple and give an immediate response, but couple availability and latency: if Payment is down, Order fails, and a chain of calls multiplies latency and failure probability. Async messaging decouples services in time; the caller publishes and continues, so downstream outages only delay processing, but you get eventual consistency and harder debugging. Use sync for queries needing an immediate answer and async for commands and events that can complete later. gRPC is faster than REST for internal calls due to HTTP/2 and Protobuf.</t>
        </is>
      </c>
      <c r="G353" s="13" t="inlineStr"/>
    </row>
    <row r="354">
      <c r="A354" s="13" t="n">
        <v>30</v>
      </c>
      <c r="B354" s="24" t="n">
        <v>46322</v>
      </c>
      <c r="C354" s="13" t="inlineStr">
        <is>
          <t>HLD</t>
        </is>
      </c>
      <c r="D354" s="17" t="inlineStr">
        <is>
          <t>Advanced</t>
        </is>
      </c>
      <c r="E354" s="13" t="inlineStr">
        <is>
          <t>Why database per service, and how do you handle queries and transactions spanning services?</t>
        </is>
      </c>
      <c r="F354" s="13" t="inlineStr">
        <is>
          <t>Each service owns its data so it can change schema and scale independently without coupling through shared tables. Cross-service queries use API composition (call several services and join) or a read model built from events (CQRS). Cross-service transactions cannot use a single ACID transaction; use the Saga pattern with a sequence of local transactions and compensating actions (orchestrated or choreographed), plus the transactional outbox to publish events reliably.</t>
        </is>
      </c>
      <c r="G354" s="13" t="inlineStr"/>
    </row>
    <row r="355">
      <c r="A355" s="13" t="n">
        <v>30</v>
      </c>
      <c r="B355" s="24" t="n">
        <v>46322</v>
      </c>
      <c r="C355" s="13" t="inlineStr">
        <is>
          <t>HLD</t>
        </is>
      </c>
      <c r="D355" s="17" t="inlineStr">
        <is>
          <t>Advanced</t>
        </is>
      </c>
      <c r="E355" s="13" t="inlineStr">
        <is>
          <t>What resilience patterns are needed when services call each other synchronously?</t>
        </is>
      </c>
      <c r="F355" s="13" t="inlineStr">
        <is>
          <t>- Timeouts on every call so threads are not blocked forever.
- Retries with exponential backoff and jitter, only for idempotent operations.
- Circuit breaker to stop calling a failing service and fail fast.
- Bulkheads to isolate resources per dependency.
- Fallbacks such as cached or default data.
In .NET, Polly or Microsoft.Extensions.Http.Resilience provides these, and distributed tracing (OpenTelemetry) helps find the failing hop.</t>
        </is>
      </c>
      <c r="G355" s="13" t="inlineStr"/>
    </row>
    <row r="356">
      <c r="A356" s="13" t="n">
        <v>30</v>
      </c>
      <c r="B356" s="24" t="n">
        <v>46322</v>
      </c>
      <c r="C356" s="13" t="inlineStr">
        <is>
          <t>LLD</t>
        </is>
      </c>
      <c r="D356" s="18" t="inlineStr">
        <is>
          <t>Basic</t>
        </is>
      </c>
      <c r="E356" s="13" t="inlineStr">
        <is>
          <t>What is the Adapter pattern?</t>
        </is>
      </c>
      <c r="F356" s="13" t="inlineStr">
        <is>
          <t>Adapter converts the interface of an existing class into another interface that clients expect, letting classes with incompatible interfaces work together. The client depends on its own target interface, and the adapter translates calls and data to the adaptee. It is commonly used to integrate third-party SDKs and legacy code.</t>
        </is>
      </c>
      <c r="G356" s="13" t="inlineStr"/>
    </row>
    <row r="357">
      <c r="A357" s="13" t="n">
        <v>30</v>
      </c>
      <c r="B357" s="24" t="n">
        <v>46322</v>
      </c>
      <c r="C357" s="13" t="inlineStr">
        <is>
          <t>LLD</t>
        </is>
      </c>
      <c r="D357" s="18" t="inlineStr">
        <is>
          <t>Basic</t>
        </is>
      </c>
      <c r="E357" s="13" t="inlineStr">
        <is>
          <t>What is the difference between object adapter and class adapter?</t>
        </is>
      </c>
      <c r="F357" s="13" t="inlineStr">
        <is>
          <t>An object adapter holds a reference to the adaptee and delegates to it (composition); it is the common form in C# and works with sealed classes and subclasses of the adaptee. A class adapter inherits from the adaptee and implements the target interface; C# supports only single class inheritance, so it is less flexible and exposes the adaptee's members. Prefer object adapters.</t>
        </is>
      </c>
      <c r="G357" s="13" t="inlineStr"/>
    </row>
    <row r="358">
      <c r="A358" s="13" t="n">
        <v>30</v>
      </c>
      <c r="B358" s="24" t="n">
        <v>46322</v>
      </c>
      <c r="C358" s="13" t="inlineStr">
        <is>
          <t>LLD</t>
        </is>
      </c>
      <c r="D358" s="16" t="inlineStr">
        <is>
          <t>Intermediate</t>
        </is>
      </c>
      <c r="E358" s="13" t="inlineStr">
        <is>
          <t>Write an adapter that wraps a third-party SMS SDK behind your own interface.</t>
        </is>
      </c>
      <c r="F358" s="13" t="inlineStr">
        <is>
          <t>```csharp
public interface ISmsSender { Task SendAsync(string phone, string message); }
public class TwilioSmsAdapter : ISmsSender {
    private readonly TwilioClient _client; private readonly string _from;
    public TwilioSmsAdapter(TwilioClient client, string from)
        { _client = client; _from = from; }
    public async Task SendAsync(string phone, string message) {
        var result = await _client.CreateMessageAsync(to: phone, from: _from, body: message);
        if (result.Status == "failed") throw new SmsSendException(result.ErrorMessage);
    }
}
```
The app depends only on ISmsSender, so switching vendors means writing one new adapter.</t>
        </is>
      </c>
      <c r="G358" s="13" t="inlineStr"/>
    </row>
    <row r="359">
      <c r="A359" s="13" t="n">
        <v>30</v>
      </c>
      <c r="B359" s="24" t="n">
        <v>46322</v>
      </c>
      <c r="C359" s="13" t="inlineStr">
        <is>
          <t>LLD</t>
        </is>
      </c>
      <c r="D359" s="16" t="inlineStr">
        <is>
          <t>Intermediate</t>
        </is>
      </c>
      <c r="E359" s="13" t="inlineStr">
        <is>
          <t>Why is wrapping third-party libraries with adapters considered good practice?</t>
        </is>
      </c>
      <c r="F359" s="13" t="inlineStr">
        <is>
          <t>It isolates vendor-specific types, exceptions and quirks in one class, so the rest of the code depends on your own abstraction (Dependency Inversion). Switching providers or upgrading SDK versions touches only the adapter. It makes unit testing easy because you mock your interface instead of the SDK. It also lets you translate vendor errors into your domain exceptions and add consistent logging.</t>
        </is>
      </c>
      <c r="G359" s="13" t="inlineStr"/>
    </row>
    <row r="360">
      <c r="A360" s="13" t="n">
        <v>30</v>
      </c>
      <c r="B360" s="24" t="n">
        <v>46322</v>
      </c>
      <c r="C360" s="13" t="inlineStr">
        <is>
          <t>LLD</t>
        </is>
      </c>
      <c r="D360" s="17" t="inlineStr">
        <is>
          <t>Advanced</t>
        </is>
      </c>
      <c r="E360" s="13" t="inlineStr">
        <is>
          <t>How does the Adapter pattern relate to microservices and the anti-corruption layer?</t>
        </is>
      </c>
      <c r="F360" s="13" t="inlineStr">
        <is>
          <t>In DDD, an anti-corruption layer is a set of adapters and translators that sit between your bounded context and another service or legacy system, converting their model into yours so their concepts do not leak in. When a microservice calls an external API or migrates from a monolith, the ACL maps DTOs, status codes and errors to your domain types. It is the Adapter pattern applied at the boundary of a service.</t>
        </is>
      </c>
      <c r="G360" s="13" t="inlineStr"/>
    </row>
    <row r="361">
      <c r="A361" s="13" t="n">
        <v>30</v>
      </c>
      <c r="B361" s="24" t="n">
        <v>46322</v>
      </c>
      <c r="C361" s="13" t="inlineStr">
        <is>
          <t>LLD</t>
        </is>
      </c>
      <c r="D361" s="17" t="inlineStr">
        <is>
          <t>Advanced</t>
        </is>
      </c>
      <c r="E361" s="13" t="inlineStr">
        <is>
          <t>Adapter vs Facade vs Decorator: explain with one example each.</t>
        </is>
      </c>
      <c r="F361" s="13" t="inlineStr">
        <is>
          <t>- Adapter: TwilioSmsAdapter makes the Twilio SDK fit ISmsSender; changes the interface.
- Facade: CheckoutFacade.PlaceOrderAsync hides inventory, payment and order services behind one simple method; simplifies many interfaces.
- Decorator: RetryingSmsSender wraps an ISmsSender and adds retries; keeps the same interface and adds behaviour.
The key question is whether you are converting, simplifying or enriching.</t>
        </is>
      </c>
      <c r="G361" s="13" t="inlineStr"/>
    </row>
    <row r="362">
      <c r="A362" s="13" t="n">
        <v>31</v>
      </c>
      <c r="B362" s="24" t="n">
        <v>46323</v>
      </c>
      <c r="C362" s="13" t="inlineStr">
        <is>
          <t>HLD</t>
        </is>
      </c>
      <c r="D362" s="18" t="inlineStr">
        <is>
          <t>Basic</t>
        </is>
      </c>
      <c r="E362" s="13" t="inlineStr">
        <is>
          <t>What is service discovery and why do microservices need it?</t>
        </is>
      </c>
      <c r="F362" s="13" t="inlineStr">
        <is>
          <t>Service discovery lets a service find the current network location (IP and port) of another service instead of hard-coding it. In containerized systems instances are created, moved and killed constantly, so addresses change all the time. A discovery mechanism keeps an up-to-date list of healthy instances so callers always hit a live one.</t>
        </is>
      </c>
      <c r="G362" s="13" t="inlineStr"/>
    </row>
    <row r="363">
      <c r="A363" s="13" t="n">
        <v>31</v>
      </c>
      <c r="B363" s="24" t="n">
        <v>46323</v>
      </c>
      <c r="C363" s="13" t="inlineStr">
        <is>
          <t>HLD</t>
        </is>
      </c>
      <c r="D363" s="18" t="inlineStr">
        <is>
          <t>Basic</t>
        </is>
      </c>
      <c r="E363" s="13" t="inlineStr">
        <is>
          <t>What is the difference between a liveness probe and a readiness probe?</t>
        </is>
      </c>
      <c r="F363" s="13" t="inlineStr">
        <is>
          <t>Liveness answers 'is this process stuck or dead?' - if it fails, the orchestrator restarts the container. Readiness answers 'can this instance take traffic right now?' - if it fails, the instance is removed from the load balancer but not restarted. For example, an app warming its cache or waiting on a DB connection should be not-ready but still alive.</t>
        </is>
      </c>
      <c r="G363" s="13" t="inlineStr"/>
    </row>
    <row r="364">
      <c r="A364" s="13" t="n">
        <v>31</v>
      </c>
      <c r="B364" s="24" t="n">
        <v>46323</v>
      </c>
      <c r="C364" s="13" t="inlineStr">
        <is>
          <t>HLD</t>
        </is>
      </c>
      <c r="D364" s="16" t="inlineStr">
        <is>
          <t>Intermediate</t>
        </is>
      </c>
      <c r="E364" s="13" t="inlineStr">
        <is>
          <t>Compare client-side and server-side service discovery.</t>
        </is>
      </c>
      <c r="F364" s="13" t="inlineStr">
        <is>
          <t>- Client-side: the client queries a registry (Eureka, Consul) and picks an instance itself, doing its own load balancing; fewer hops but every client needs discovery logic.
- Server-side: the client calls a load balancer or DNS name (Kubernetes Service, AWS ALB) which looks up the registry and forwards; clients stay simple but there is an extra hop.
- Kubernetes uses server-side discovery via DNS names plus kube-proxy.</t>
        </is>
      </c>
      <c r="G364" s="13" t="inlineStr"/>
    </row>
    <row r="365">
      <c r="A365" s="13" t="n">
        <v>31</v>
      </c>
      <c r="B365" s="24" t="n">
        <v>46323</v>
      </c>
      <c r="C365" s="13" t="inlineStr">
        <is>
          <t>HLD</t>
        </is>
      </c>
      <c r="D365" s="16" t="inlineStr">
        <is>
          <t>Intermediate</t>
        </is>
      </c>
      <c r="E365" s="13" t="inlineStr">
        <is>
          <t>How are containers different from virtual machines?</t>
        </is>
      </c>
      <c r="F365" s="13" t="inlineStr">
        <is>
          <t>A VM virtualizes hardware and runs a full guest OS on a hypervisor, so it is heavy (GBs, boots in minutes) but strongly isolated. A container shares the host kernel and isolates processes using namespaces and cgroups, so it is lightweight (MBs, starts in seconds) and packs densely. The trade-off is weaker isolation, since a kernel exploit can affect all containers on the host.</t>
        </is>
      </c>
      <c r="G365" s="13" t="inlineStr"/>
    </row>
    <row r="366">
      <c r="A366" s="13" t="n">
        <v>31</v>
      </c>
      <c r="B366" s="24" t="n">
        <v>46323</v>
      </c>
      <c r="C366" s="13" t="inlineStr">
        <is>
          <t>HLD</t>
        </is>
      </c>
      <c r="D366" s="17" t="inlineStr">
        <is>
          <t>Advanced</t>
        </is>
      </c>
      <c r="E366" s="13" t="inlineStr">
        <is>
          <t>What should a health check endpoint actually check, and what are the pitfalls?</t>
        </is>
      </c>
      <c r="F366" s="13" t="inlineStr">
        <is>
          <t>Liveness should be cheap and check only the process itself (can it respond), never downstream dependencies, otherwise a DB outage makes the orchestrator restart every instance in a loop. Readiness can check critical dependencies but with timeouts and caching so the probe itself does not overload them. Also set sensible initial delays and failure thresholds so slow startups are not killed, and consider a separate startup probe for slow-booting apps.</t>
        </is>
      </c>
      <c r="G366" s="13" t="inlineStr"/>
    </row>
    <row r="367">
      <c r="A367" s="13" t="n">
        <v>31</v>
      </c>
      <c r="B367" s="24" t="n">
        <v>46323</v>
      </c>
      <c r="C367" s="13" t="inlineStr">
        <is>
          <t>HLD</t>
        </is>
      </c>
      <c r="D367" s="17" t="inlineStr">
        <is>
          <t>Advanced</t>
        </is>
      </c>
      <c r="E367" s="13" t="inlineStr">
        <is>
          <t>How do you keep a service registry consistent when instances crash without deregistering?</t>
        </is>
      </c>
      <c r="F367" s="13" t="inlineStr">
        <is>
          <t>Registries use leases with heartbeats: each instance must renew its registration every few seconds, and entries whose lease expires are evicted. Clients should also cache the instance list and retry on a different instance if a call fails, because the registry is eventually consistent. Registries like Consul and etcd run as replicated clusters (Raft) so the registry itself is not a single point of failure.</t>
        </is>
      </c>
      <c r="G367" s="13" t="inlineStr"/>
    </row>
    <row r="368">
      <c r="A368" s="13" t="n">
        <v>31</v>
      </c>
      <c r="B368" s="24" t="n">
        <v>46323</v>
      </c>
      <c r="C368" s="13" t="inlineStr">
        <is>
          <t>LLD</t>
        </is>
      </c>
      <c r="D368" s="18" t="inlineStr">
        <is>
          <t>Basic</t>
        </is>
      </c>
      <c r="E368" s="13" t="inlineStr">
        <is>
          <t>What is dependency injection and why use it?</t>
        </is>
      </c>
      <c r="F368" s="13" t="inlineStr">
        <is>
          <t>Dependency injection means a class receives its dependencies (usually as interfaces) from outside instead of creating them with new. This follows the Dependency Inversion Principle, keeps classes loosely coupled and makes unit testing easy because you can pass mocks. In .NET the built-in container in Microsoft.Extensions.DependencyInjection wires everything at startup.</t>
        </is>
      </c>
      <c r="G368" s="13" t="inlineStr"/>
    </row>
    <row r="369">
      <c r="A369" s="13" t="n">
        <v>31</v>
      </c>
      <c r="B369" s="24" t="n">
        <v>46323</v>
      </c>
      <c r="C369" s="13" t="inlineStr">
        <is>
          <t>LLD</t>
        </is>
      </c>
      <c r="D369" s="18" t="inlineStr">
        <is>
          <t>Basic</t>
        </is>
      </c>
      <c r="E369" s="13" t="inlineStr">
        <is>
          <t>What are the three service lifetimes in .NET DI?</t>
        </is>
      </c>
      <c r="F369" s="13" t="inlineStr">
        <is>
          <t>- Transient: a new instance every time it is resolved; good for lightweight stateless services.
- Scoped: one instance per scope, which in ASP.NET Core means per HTTP request; typical for DbContext and unit-of-work.
- Singleton: one instance for the whole app lifetime; must be thread-safe (caches, configuration, HttpClient factories).</t>
        </is>
      </c>
      <c r="G369" s="13" t="inlineStr"/>
    </row>
    <row r="370">
      <c r="A370" s="13" t="n">
        <v>31</v>
      </c>
      <c r="B370" s="24" t="n">
        <v>46323</v>
      </c>
      <c r="C370" s="13" t="inlineStr">
        <is>
          <t>LLD</t>
        </is>
      </c>
      <c r="D370" s="16" t="inlineStr">
        <is>
          <t>Intermediate</t>
        </is>
      </c>
      <c r="E370" s="13" t="inlineStr">
        <is>
          <t>What is a captive dependency and how does .NET protect against it?</t>
        </is>
      </c>
      <c r="F370" s="13" t="inlineStr">
        <is>
          <t>A captive dependency is when a longer-lived service holds a shorter-lived one, for example a singleton that takes a scoped DbContext in its constructor. The scoped object then lives forever, gets shared across requests and causes thread-safety and stale-data bugs. In Development, ASP.NET Core enables ValidateScopes which throws when a scoped service is resolved from the root provider. The fix is to inject IServiceScopeFactory and create a scope when needed.</t>
        </is>
      </c>
      <c r="G370" s="13" t="inlineStr"/>
    </row>
    <row r="371">
      <c r="A371" s="13" t="n">
        <v>31</v>
      </c>
      <c r="B371" s="24" t="n">
        <v>46323</v>
      </c>
      <c r="C371" s="13" t="inlineStr">
        <is>
          <t>LLD</t>
        </is>
      </c>
      <c r="D371" s="16" t="inlineStr">
        <is>
          <t>Intermediate</t>
        </is>
      </c>
      <c r="E371" s="13" t="inlineStr">
        <is>
          <t>Constructor injection vs property injection vs method injection - which do you prefer?</t>
        </is>
      </c>
      <c r="F371" s="13" t="inlineStr">
        <is>
          <t>Constructor injection is the default: dependencies are explicit, required and the object is always valid after construction, and it is the only style the built-in container supports automatically. Method injection (passing a dependency as a parameter, like [FromServices] on an action) suits a dependency needed by just one call. Property injection is for optional dependencies but hides requirements, so it needs a third-party container like Autofac.</t>
        </is>
      </c>
      <c r="G371" s="13" t="inlineStr"/>
    </row>
    <row r="372">
      <c r="A372" s="13" t="n">
        <v>31</v>
      </c>
      <c r="B372" s="24" t="n">
        <v>46323</v>
      </c>
      <c r="C372" s="13" t="inlineStr">
        <is>
          <t>LLD</t>
        </is>
      </c>
      <c r="D372" s="17" t="inlineStr">
        <is>
          <t>Advanced</t>
        </is>
      </c>
      <c r="E372" s="13" t="inlineStr">
        <is>
          <t>How do you register multiple implementations of one interface and pick one at runtime?</t>
        </is>
      </c>
      <c r="F372" s="13" t="inlineStr">
        <is>
          <t>Register all of them; resolving IEnumerable&lt;T&gt; gives every implementation, and resolving T gives the last one registered. From .NET 8 you can use keyed services to choose by key.
```csharp
services.AddKeyedScoped&lt;IPaymentGateway, RazorpayGateway&gt;("razorpay");
services.AddKeyedScoped&lt;IPaymentGateway, StripeGateway&gt;("stripe");
public class CheckoutService(
    [FromKeyedServices("razorpay")] IPaymentGateway gateway) { }
```
Before .NET 8 the common approach was a factory or a strategy resolver over IEnumerable&lt;T&gt;.</t>
        </is>
      </c>
      <c r="G372" s="13" t="inlineStr"/>
    </row>
    <row r="373">
      <c r="A373" s="13" t="n">
        <v>31</v>
      </c>
      <c r="B373" s="24" t="n">
        <v>46323</v>
      </c>
      <c r="C373" s="13" t="inlineStr">
        <is>
          <t>LLD</t>
        </is>
      </c>
      <c r="D373" s="17" t="inlineStr">
        <is>
          <t>Advanced</t>
        </is>
      </c>
      <c r="E373" s="13" t="inlineStr">
        <is>
          <t>Why is the Service Locator pattern considered an anti-pattern compared to DI?</t>
        </is>
      </c>
      <c r="F373" s="13" t="inlineStr">
        <is>
          <t>With service locator a class calls something like provider.GetService&lt;T&gt;() internally, so its dependencies are hidden rather than visible in the constructor. That makes code harder to read, pushes errors from startup to runtime, and makes tests need a configured container. It is acceptable only at composition roots or infrastructure edges, such as middleware or background workers creating scopes via IServiceScopeFactory.</t>
        </is>
      </c>
      <c r="G373" s="13" t="inlineStr"/>
    </row>
    <row r="374">
      <c r="A374" s="13" t="n">
        <v>32</v>
      </c>
      <c r="B374" s="24" t="n">
        <v>46324</v>
      </c>
      <c r="C374" s="13" t="inlineStr">
        <is>
          <t>HLD</t>
        </is>
      </c>
      <c r="D374" s="18" t="inlineStr">
        <is>
          <t>Basic</t>
        </is>
      </c>
      <c r="E374" s="13" t="inlineStr">
        <is>
          <t>What is the difference between authentication and authorization?</t>
        </is>
      </c>
      <c r="F374" s="13" t="inlineStr">
        <is>
          <t>Authentication verifies who you are, for example by checking a password, OTP or token signature, and results in 401 Unauthorized when it fails. Authorization decides what an authenticated identity is allowed to do, such as roles, scopes or ownership checks, and results in 403 Forbidden when it fails. Authentication always happens first.</t>
        </is>
      </c>
      <c r="G374" s="13" t="inlineStr"/>
    </row>
    <row r="375">
      <c r="A375" s="13" t="n">
        <v>32</v>
      </c>
      <c r="B375" s="24" t="n">
        <v>46324</v>
      </c>
      <c r="C375" s="13" t="inlineStr">
        <is>
          <t>HLD</t>
        </is>
      </c>
      <c r="D375" s="18" t="inlineStr">
        <is>
          <t>Basic</t>
        </is>
      </c>
      <c r="E375" s="13" t="inlineStr">
        <is>
          <t>What is a JWT and what are its three parts?</t>
        </is>
      </c>
      <c r="F375" s="13" t="inlineStr">
        <is>
          <t>A JSON Web Token is a compact, signed token made of header.payload.signature, each Base64Url encoded. The header holds the algorithm (HS256, RS256), the payload holds claims like sub, exp, iss, aud and roles, and the signature proves the token was issued by the server and not tampered with. The payload is only encoded, not encrypted, so never put secrets in it.</t>
        </is>
      </c>
      <c r="G375" s="13" t="inlineStr"/>
    </row>
    <row r="376">
      <c r="A376" s="13" t="n">
        <v>32</v>
      </c>
      <c r="B376" s="24" t="n">
        <v>46324</v>
      </c>
      <c r="C376" s="13" t="inlineStr">
        <is>
          <t>HLD</t>
        </is>
      </c>
      <c r="D376" s="16" t="inlineStr">
        <is>
          <t>Intermediate</t>
        </is>
      </c>
      <c r="E376" s="13" t="inlineStr">
        <is>
          <t>Why use short-lived access tokens with refresh tokens?</t>
        </is>
      </c>
      <c r="F376" s="13" t="inlineStr">
        <is>
          <t>JWTs are stateless, so the server cannot easily revoke one before it expires; keeping access tokens short (5-15 minutes) limits the damage if one leaks. A long-lived refresh token, stored securely (httpOnly cookie) and tracked server-side, is used to get new access tokens. Refresh tokens can be revoked and rotated on each use, and reuse of an old refresh token signals theft.</t>
        </is>
      </c>
      <c r="G376" s="13" t="inlineStr"/>
    </row>
    <row r="377">
      <c r="A377" s="13" t="n">
        <v>32</v>
      </c>
      <c r="B377" s="24" t="n">
        <v>46324</v>
      </c>
      <c r="C377" s="13" t="inlineStr">
        <is>
          <t>HLD</t>
        </is>
      </c>
      <c r="D377" s="16" t="inlineStr">
        <is>
          <t>Intermediate</t>
        </is>
      </c>
      <c r="E377" s="13" t="inlineStr">
        <is>
          <t>Explain the OAuth2 authorization code flow.</t>
        </is>
      </c>
      <c r="F377" s="13" t="inlineStr">
        <is>
          <t>- The client redirects the user to the authorization server with client_id, redirect_uri, scope and state.
- The user logs in and consents; the server redirects back with a short-lived authorization code.
- The client's backend exchanges the code plus its client secret for an access token (and refresh token) over a back channel.
- The client calls the resource API with the access token.
Tokens never pass through the browser URL, which makes it safer than the old implicit flow.</t>
        </is>
      </c>
      <c r="G377" s="13" t="inlineStr"/>
    </row>
    <row r="378">
      <c r="A378" s="13" t="n">
        <v>32</v>
      </c>
      <c r="B378" s="24" t="n">
        <v>46324</v>
      </c>
      <c r="C378" s="13" t="inlineStr">
        <is>
          <t>HLD</t>
        </is>
      </c>
      <c r="D378" s="17" t="inlineStr">
        <is>
          <t>Advanced</t>
        </is>
      </c>
      <c r="E378" s="13" t="inlineStr">
        <is>
          <t>What is PKCE and why is it needed?</t>
        </is>
      </c>
      <c r="F378" s="13" t="inlineStr">
        <is>
          <t>PKCE (Proof Key for Code Exchange) protects the authorization code flow for public clients like mobile apps and SPAs that cannot keep a client secret. The client creates a random code_verifier, sends its hash (code_challenge) in the authorize request, and must send the original verifier when exchanging the code. An attacker who intercepts the code cannot redeem it without the verifier. It is now recommended for all clients.</t>
        </is>
      </c>
      <c r="G378" s="13" t="inlineStr"/>
    </row>
    <row r="379">
      <c r="A379" s="13" t="n">
        <v>32</v>
      </c>
      <c r="B379" s="24" t="n">
        <v>46324</v>
      </c>
      <c r="C379" s="13" t="inlineStr">
        <is>
          <t>HLD</t>
        </is>
      </c>
      <c r="D379" s="17" t="inlineStr">
        <is>
          <t>Advanced</t>
        </is>
      </c>
      <c r="E379" s="13" t="inlineStr">
        <is>
          <t>Session cookies vs JWT - how do you choose, and how do you handle JWT revocation?</t>
        </is>
      </c>
      <c r="F379" s="13" t="inlineStr">
        <is>
          <t>Server sessions are easy to revoke and keep tokens small but need a shared session store to scale horizontally. JWTs are stateless and good across many services, but revocation is hard. Common JWT revocation strategies: short expiry, a denylist of revoked jti values in Redis checked at the gateway, or a per-user token version stored in the DB. Many systems combine them: a session cookie at the BFF and JWTs between internal services.</t>
        </is>
      </c>
      <c r="G379" s="13" t="inlineStr"/>
    </row>
    <row r="380">
      <c r="A380" s="13" t="n">
        <v>32</v>
      </c>
      <c r="B380" s="24" t="n">
        <v>46324</v>
      </c>
      <c r="C380" s="13" t="inlineStr">
        <is>
          <t>LLD</t>
        </is>
      </c>
      <c r="D380" s="18" t="inlineStr">
        <is>
          <t>Basic</t>
        </is>
      </c>
      <c r="E380" s="13" t="inlineStr">
        <is>
          <t>How would you define the core interfaces of an auth module?</t>
        </is>
      </c>
      <c r="F380" s="13" t="inlineStr">
        <is>
          <t>Separate responsibilities into small interfaces so each can be swapped or mocked:
- IPasswordHasher: Hash and Verify.
- ITokenService: IssueAccessToken, IssueRefreshToken, ValidateToken.
- IUserRepository: FindByEmail, Save.
- IAuthService: Login, Refresh, Logout, which orchestrates the others.
This follows SRP and ISP and lets you switch JWT to opaque tokens or BCrypt to Argon2 without touching callers.</t>
        </is>
      </c>
      <c r="G380" s="13" t="inlineStr"/>
    </row>
    <row r="381">
      <c r="A381" s="13" t="n">
        <v>32</v>
      </c>
      <c r="B381" s="24" t="n">
        <v>46324</v>
      </c>
      <c r="C381" s="13" t="inlineStr">
        <is>
          <t>LLD</t>
        </is>
      </c>
      <c r="D381" s="18" t="inlineStr">
        <is>
          <t>Basic</t>
        </is>
      </c>
      <c r="E381" s="13" t="inlineStr">
        <is>
          <t>How should passwords be stored?</t>
        </is>
      </c>
      <c r="F381" s="13" t="inlineStr">
        <is>
          <t>Never store plain text or use a fast hash like SHA-256 or MD5. Use a slow, salted, adaptive algorithm such as BCrypt, PBKDF2 or Argon2, where each user gets a random salt and a work factor you can raise over time. In .NET, ASP.NET Core Identity's PasswordHasher&lt;T&gt; uses PBKDF2 and stores the version so hashes can be upgraded on next login.</t>
        </is>
      </c>
      <c r="G381" s="13" t="inlineStr"/>
    </row>
    <row r="382">
      <c r="A382" s="13" t="n">
        <v>32</v>
      </c>
      <c r="B382" s="24" t="n">
        <v>46324</v>
      </c>
      <c r="C382" s="13" t="inlineStr">
        <is>
          <t>LLD</t>
        </is>
      </c>
      <c r="D382" s="16" t="inlineStr">
        <is>
          <t>Intermediate</t>
        </is>
      </c>
      <c r="E382" s="13" t="inlineStr">
        <is>
          <t>How do you implement role- and policy-based authorization in ASP.NET Core?</t>
        </is>
      </c>
      <c r="F382" s="13" t="inlineStr">
        <is>
          <t>Roles are checked with [Authorize(Roles = "Admin")], but policies are more flexible: you register named policies built from requirements and handlers.
```csharp
builder.Services.AddAuthorization(o =&gt;
    o.AddPolicy("CanRefund", p =&gt;
        p.RequireClaim("scope", "payments.refund")));
[Authorize(Policy = "CanRefund")]
public IActionResult Refund(int id) { ... }
```
For resource-based rules like 'only the owner can edit', implement an AuthorizationHandler and call IAuthorizationService.AuthorizeAsync with the resource.</t>
        </is>
      </c>
      <c r="G382" s="13" t="inlineStr"/>
    </row>
    <row r="383">
      <c r="A383" s="13" t="n">
        <v>32</v>
      </c>
      <c r="B383" s="24" t="n">
        <v>46324</v>
      </c>
      <c r="C383" s="13" t="inlineStr">
        <is>
          <t>LLD</t>
        </is>
      </c>
      <c r="D383" s="16" t="inlineStr">
        <is>
          <t>Intermediate</t>
        </is>
      </c>
      <c r="E383" s="13" t="inlineStr">
        <is>
          <t>How would you design the auth module to support multiple login methods (password, OTP, Google)?</t>
        </is>
      </c>
      <c r="F383" s="13" t="inlineStr">
        <is>
          <t>Use the Strategy pattern: an IAuthenticator interface with Authenticate(credentials) returning an AuthResult, and one implementation per method (PasswordAuthenticator, OtpAuthenticator, GoogleOAuthAuthenticator). The AuthService picks the strategy by login type, often via a dictionary or keyed DI, then uses the shared ITokenService to issue tokens. Adding a new method means adding a class, not editing existing ones (Open/Closed Principle).</t>
        </is>
      </c>
      <c r="G383" s="13" t="inlineStr"/>
    </row>
    <row r="384">
      <c r="A384" s="13" t="n">
        <v>32</v>
      </c>
      <c r="B384" s="24" t="n">
        <v>46324</v>
      </c>
      <c r="C384" s="13" t="inlineStr">
        <is>
          <t>LLD</t>
        </is>
      </c>
      <c r="D384" s="17" t="inlineStr">
        <is>
          <t>Advanced</t>
        </is>
      </c>
      <c r="E384" s="13" t="inlineStr">
        <is>
          <t>How would you design refresh-token rotation with reuse detection?</t>
        </is>
      </c>
      <c r="F384" s="13" t="inlineStr">
        <is>
          <t>Store each refresh token hashed in a table with UserId, FamilyId, ExpiresAt, and ReplacedBy/RevokedAt. On refresh, validate the token, mark it used, and issue a new one in the same family. If a token that was already used is presented again, assume theft and revoke the whole family, forcing a re-login. Wrap the check-and-mark in a transaction or conditional update to avoid race conditions between two parallel refreshes.</t>
        </is>
      </c>
      <c r="G384" s="13" t="inlineStr"/>
    </row>
    <row r="385">
      <c r="A385" s="13" t="n">
        <v>32</v>
      </c>
      <c r="B385" s="24" t="n">
        <v>46324</v>
      </c>
      <c r="C385" s="13" t="inlineStr">
        <is>
          <t>LLD</t>
        </is>
      </c>
      <c r="D385" s="17" t="inlineStr">
        <is>
          <t>Advanced</t>
        </is>
      </c>
      <c r="E385" s="13" t="inlineStr">
        <is>
          <t>How would you make the auth module testable, especially around token expiry?</t>
        </is>
      </c>
      <c r="F385" s="13" t="inlineStr">
        <is>
          <t>Avoid static dependencies such as DateTime.UtcNow and hard-coded keys. Inject TimeProvider (built into .NET 8) or an IClock, inject signing keys via IOptions&lt;JwtOptions&gt;, and depend on interfaces for repositories and hashers. Unit tests can then use FakeTimeProvider to advance time and assert that tokens expire, and integration tests can use WebApplicationFactory with a test authentication handler.</t>
        </is>
      </c>
      <c r="G385" s="13" t="inlineStr"/>
    </row>
    <row r="386">
      <c r="A386" s="13" t="n">
        <v>33</v>
      </c>
      <c r="B386" s="24" t="n">
        <v>46325</v>
      </c>
      <c r="C386" s="13" t="inlineStr">
        <is>
          <t>HLD</t>
        </is>
      </c>
      <c r="D386" s="18" t="inlineStr">
        <is>
          <t>Basic</t>
        </is>
      </c>
      <c r="E386" s="13" t="inlineStr">
        <is>
          <t>What are the three pillars of observability?</t>
        </is>
      </c>
      <c r="F386" s="13" t="inlineStr">
        <is>
          <t>- Logs: timestamped records of discrete events, great for debugging a specific failure.
- Metrics: numeric measurements aggregated over time (request rate, error rate, latency percentiles, CPU), cheap to store and ideal for dashboards and alerts.
- Traces: the path of one request across services, made of spans with timings, used to find where latency or errors occur.</t>
        </is>
      </c>
      <c r="G386" s="13" t="inlineStr"/>
    </row>
    <row r="387">
      <c r="A387" s="13" t="n">
        <v>33</v>
      </c>
      <c r="B387" s="24" t="n">
        <v>46325</v>
      </c>
      <c r="C387" s="13" t="inlineStr">
        <is>
          <t>HLD</t>
        </is>
      </c>
      <c r="D387" s="18" t="inlineStr">
        <is>
          <t>Basic</t>
        </is>
      </c>
      <c r="E387" s="13" t="inlineStr">
        <is>
          <t>What is a correlation ID and why is it important?</t>
        </is>
      </c>
      <c r="F387" s="13" t="inlineStr">
        <is>
          <t>A correlation ID is a unique identifier attached to a request at the edge and passed to every downstream call, usually in a header like traceparent or X-Correlation-ID. Every log line and span includes it, so you can pull every event for one user request across many services. Without it, debugging a distributed request means guessing from timestamps.</t>
        </is>
      </c>
      <c r="G387" s="13" t="inlineStr"/>
    </row>
    <row r="388">
      <c r="A388" s="13" t="n">
        <v>33</v>
      </c>
      <c r="B388" s="24" t="n">
        <v>46325</v>
      </c>
      <c r="C388" s="13" t="inlineStr">
        <is>
          <t>HLD</t>
        </is>
      </c>
      <c r="D388" s="16" t="inlineStr">
        <is>
          <t>Intermediate</t>
        </is>
      </c>
      <c r="E388" s="13" t="inlineStr">
        <is>
          <t>Why do we alert on symptoms rather than causes?</t>
        </is>
      </c>
      <c r="F388" s="13" t="inlineStr">
        <is>
          <t>Symptoms are what users feel: high latency, error rate, failed checkouts. Causes like high CPU or a full queue may not hurt users at all, and alerting on them creates noise and pager fatigue. Alert on SLO-based symptoms (for example p99 latency over 500 ms or error rate above 1%) and use cause metrics on dashboards for diagnosis. The golden signals are latency, traffic, errors and saturation.</t>
        </is>
      </c>
      <c r="G388" s="13" t="inlineStr"/>
    </row>
    <row r="389">
      <c r="A389" s="13" t="n">
        <v>33</v>
      </c>
      <c r="B389" s="24" t="n">
        <v>46325</v>
      </c>
      <c r="C389" s="13" t="inlineStr">
        <is>
          <t>HLD</t>
        </is>
      </c>
      <c r="D389" s="16" t="inlineStr">
        <is>
          <t>Intermediate</t>
        </is>
      </c>
      <c r="E389" s="13" t="inlineStr">
        <is>
          <t>Why use percentiles instead of averages for latency?</t>
        </is>
      </c>
      <c r="F389" s="13" t="inlineStr">
        <is>
          <t>Averages hide the tail: if 99 requests take 10 ms and one takes 5 seconds, the average looks fine while some users suffer badly. Percentiles like p50, p95 and p99 show what most users and the slowest users experience. Tail latency matters even more in microservices, because a request fanning out to many services is as slow as its slowest call.</t>
        </is>
      </c>
      <c r="G389" s="13" t="inlineStr"/>
    </row>
    <row r="390">
      <c r="A390" s="13" t="n">
        <v>33</v>
      </c>
      <c r="B390" s="24" t="n">
        <v>46325</v>
      </c>
      <c r="C390" s="13" t="inlineStr">
        <is>
          <t>HLD</t>
        </is>
      </c>
      <c r="D390" s="17" t="inlineStr">
        <is>
          <t>Advanced</t>
        </is>
      </c>
      <c r="E390" s="13" t="inlineStr">
        <is>
          <t>How does distributed tracing work under the hood?</t>
        </is>
      </c>
      <c r="F390" s="13" t="inlineStr">
        <is>
          <t>The first service creates a trace ID and a root span; each unit of work creates a child span with its own span ID, parent ID, start time and duration. Context is propagated through HTTP headers (W3C traceparent) or message metadata. Spans are exported asynchronously to a collector (OpenTelemetry Collector) and stored in a backend like Jaeger, Tempo or X-Ray, which reassembles the tree. High-volume systems sample, either head-based (decide at start) or tail-based (keep slow or error traces).</t>
        </is>
      </c>
      <c r="G390" s="13" t="inlineStr"/>
    </row>
    <row r="391">
      <c r="A391" s="13" t="n">
        <v>33</v>
      </c>
      <c r="B391" s="24" t="n">
        <v>46325</v>
      </c>
      <c r="C391" s="13" t="inlineStr">
        <is>
          <t>HLD</t>
        </is>
      </c>
      <c r="D391" s="17" t="inlineStr">
        <is>
          <t>Advanced</t>
        </is>
      </c>
      <c r="E391" s="13" t="inlineStr">
        <is>
          <t>How do you control the cost and cardinality of observability data at scale?</t>
        </is>
      </c>
      <c r="F391" s="13" t="inlineStr">
        <is>
          <t>Metrics cost grows with label cardinality, so never use unbounded labels like userId or orderId on metrics; put them in logs or traces instead. Sample traces, keep debug logs off in production, and use log levels properly. Apply retention tiers: hot storage for a few days, cheaper cold storage for longer. Aggregating at the edge (for example histograms in the app) also cuts volume.</t>
        </is>
      </c>
      <c r="G391" s="13" t="inlineStr"/>
    </row>
    <row r="392">
      <c r="A392" s="13" t="n">
        <v>33</v>
      </c>
      <c r="B392" s="24" t="n">
        <v>46325</v>
      </c>
      <c r="C392" s="13" t="inlineStr">
        <is>
          <t>LLD</t>
        </is>
      </c>
      <c r="D392" s="18" t="inlineStr">
        <is>
          <t>Basic</t>
        </is>
      </c>
      <c r="E392" s="13" t="inlineStr">
        <is>
          <t>What is structured logging and why is it better than plain text logs?</t>
        </is>
      </c>
      <c r="F392" s="13" t="inlineStr">
        <is>
          <t>Structured logging writes logs as key-value data (usually JSON) instead of free text, for example {"event":"OrderPlaced","orderId":42,"amount":999}. Log platforms can then filter and aggregate by fields (all errors for orderId 42) without fragile regex parsing. In .NET, ILogger with message templates and Serilog produce structured logs out of the box.</t>
        </is>
      </c>
      <c r="G392" s="13" t="inlineStr"/>
    </row>
    <row r="393">
      <c r="A393" s="13" t="n">
        <v>33</v>
      </c>
      <c r="B393" s="24" t="n">
        <v>46325</v>
      </c>
      <c r="C393" s="13" t="inlineStr">
        <is>
          <t>LLD</t>
        </is>
      </c>
      <c r="D393" s="18" t="inlineStr">
        <is>
          <t>Basic</t>
        </is>
      </c>
      <c r="E393" s="13" t="inlineStr">
        <is>
          <t>Why should you use message templates instead of string interpolation in ILogger calls?</t>
        </is>
      </c>
      <c r="F393" s="13" t="inlineStr">
        <is>
          <t>With a template like logger.LogInformation("Order {OrderId} placed", id), OrderId is captured as a separate property that can be queried. Interpolation ($"Order {id} placed") bakes the value into the text, losing the structure, and it allocates the string even when that log level is disabled. Analyzer CA2254 flags this.</t>
        </is>
      </c>
      <c r="G393" s="13" t="inlineStr"/>
    </row>
    <row r="394">
      <c r="A394" s="13" t="n">
        <v>33</v>
      </c>
      <c r="B394" s="24" t="n">
        <v>46325</v>
      </c>
      <c r="C394" s="13" t="inlineStr">
        <is>
          <t>LLD</t>
        </is>
      </c>
      <c r="D394" s="16" t="inlineStr">
        <is>
          <t>Intermediate</t>
        </is>
      </c>
      <c r="E394" s="13" t="inlineStr">
        <is>
          <t>How do you add a correlation ID to every log line in ASP.NET Core?</t>
        </is>
      </c>
      <c r="F394" s="13" t="inlineStr">
        <is>
          <t>Use logging scopes in a middleware so every log inside the request inherits the property.
```csharp
app.Use(async (ctx, next) =&gt; {
    var id = ctx.Request.Headers["X-Correlation-ID"].FirstOrDefault()
             ?? Guid.NewGuid().ToString();
    ctx.Response.Headers["X-Correlation-ID"] = id;
    var logger = ctx.RequestServices.GetRequiredService&lt;ILogger&lt;Program&gt;&gt;();
    using (logger.BeginScope(new Dictionary&lt;string, object&gt; { ["CorrelationId"] = id }))
        await next();
});
```
With OpenTelemetry, Activity.Current.TraceId is added automatically instead.</t>
        </is>
      </c>
      <c r="G394" s="13" t="inlineStr"/>
    </row>
    <row r="395">
      <c r="A395" s="13" t="n">
        <v>33</v>
      </c>
      <c r="B395" s="24" t="n">
        <v>46325</v>
      </c>
      <c r="C395" s="13" t="inlineStr">
        <is>
          <t>LLD</t>
        </is>
      </c>
      <c r="D395" s="16" t="inlineStr">
        <is>
          <t>Intermediate</t>
        </is>
      </c>
      <c r="E395" s="13" t="inlineStr">
        <is>
          <t>How do you choose the right log level?</t>
        </is>
      </c>
      <c r="F395" s="13" t="inlineStr">
        <is>
          <t>- Trace/Debug: detailed diagnostics, off in production.
- Information: normal business events (order placed, user logged in).
- Warning: unexpected but handled situations (retry succeeded, fallback used).
- Error: an operation failed and needs attention, with the exception attached.
- Critical: the app or a key dependency is down.
Levels should be configurable per namespace through appsettings without redeploying.</t>
        </is>
      </c>
      <c r="G395" s="13" t="inlineStr"/>
    </row>
    <row r="396">
      <c r="A396" s="13" t="n">
        <v>33</v>
      </c>
      <c r="B396" s="24" t="n">
        <v>46325</v>
      </c>
      <c r="C396" s="13" t="inlineStr">
        <is>
          <t>LLD</t>
        </is>
      </c>
      <c r="D396" s="17" t="inlineStr">
        <is>
          <t>Advanced</t>
        </is>
      </c>
      <c r="E396" s="13" t="inlineStr">
        <is>
          <t>How would you design a logging abstraction so business code does not depend on Serilog or any vendor?</t>
        </is>
      </c>
      <c r="F396" s="13" t="inlineStr">
        <is>
          <t>Business code depends only on ILogger&lt;T&gt; from Microsoft.Extensions.Logging, which is the abstraction; Serilog, NLog or OpenTelemetry are plugged in as providers at the composition root. Sinks (console, file, Elastic, Seq) are configured in one place, so switching vendors changes only startup code. For domain-heavy code you can add a small IAuditLogger for business audit events that must go to durable storage, kept separate from diagnostic logs.</t>
        </is>
      </c>
      <c r="G396" s="13" t="inlineStr"/>
    </row>
    <row r="397">
      <c r="A397" s="13" t="n">
        <v>33</v>
      </c>
      <c r="B397" s="24" t="n">
        <v>46325</v>
      </c>
      <c r="C397" s="13" t="inlineStr">
        <is>
          <t>LLD</t>
        </is>
      </c>
      <c r="D397" s="17" t="inlineStr">
        <is>
          <t>Advanced</t>
        </is>
      </c>
      <c r="E397" s="13" t="inlineStr">
        <is>
          <t>How do you make high-volume logging fast and safe in .NET?</t>
        </is>
      </c>
      <c r="F397" s="13" t="inlineStr">
        <is>
          <t>Use the LoggerMessage source generator, which creates strongly typed, allocation-free log methods and skips work when the level is disabled.
```csharp
public static partial class Log {
    [LoggerMessage(EventId = 100, Level = LogLevel.Information,
        Message = "Order {OrderId} placed for {Amount}")]
    public static partial void OrderPlaced(ILogger logger, int orderId, decimal amount);
}
```
Also write to sinks asynchronously with bounded buffers, and redact PII such as emails, tokens and card numbers with destructuring policies or enrichers.</t>
        </is>
      </c>
      <c r="G397" s="13" t="inlineStr"/>
    </row>
    <row r="398">
      <c r="A398" s="13" t="n">
        <v>34</v>
      </c>
      <c r="B398" s="24" t="n">
        <v>46326</v>
      </c>
      <c r="C398" s="13" t="inlineStr">
        <is>
          <t>HLD</t>
        </is>
      </c>
      <c r="D398" s="18" t="inlineStr">
        <is>
          <t>Basic</t>
        </is>
      </c>
      <c r="E398" s="13" t="inlineStr">
        <is>
          <t>What are the functional and non-functional requirements of a URL shortener?</t>
        </is>
      </c>
      <c r="F398" s="13" t="inlineStr">
        <is>
          <t>- Functional: create a short URL for a long URL, redirect short to long, optional custom alias, optional expiry, basic click analytics.
- Non-functional: very low redirect latency, high availability, short codes that are not guessable in sequence, and heavy read skew (often 100:1 reads to writes).
A typical estimate: 100M new URLs a month, 7-character codes, a few KB per record, so tens of TB over years.</t>
        </is>
      </c>
      <c r="G398" s="13" t="inlineStr"/>
    </row>
    <row r="399">
      <c r="A399" s="13" t="n">
        <v>34</v>
      </c>
      <c r="B399" s="24" t="n">
        <v>46326</v>
      </c>
      <c r="C399" s="13" t="inlineStr">
        <is>
          <t>HLD</t>
        </is>
      </c>
      <c r="D399" s="18" t="inlineStr">
        <is>
          <t>Basic</t>
        </is>
      </c>
      <c r="E399" s="13" t="inlineStr">
        <is>
          <t>Why is base62 used and how long should the short code be?</t>
        </is>
      </c>
      <c r="F399" s="13" t="inlineStr">
        <is>
          <t>Base62 uses a-z, A-Z and 0-9, which are all URL-safe and case-sensitive, giving 62 options per character. Seven characters give 62^7, about 3.5 trillion combinations, which is enough for many years at billions of URLs. Six characters give about 56 billion, which may be enough for smaller systems.</t>
        </is>
      </c>
      <c r="G399" s="13" t="inlineStr"/>
    </row>
    <row r="400">
      <c r="A400" s="13" t="n">
        <v>34</v>
      </c>
      <c r="B400" s="24" t="n">
        <v>46326</v>
      </c>
      <c r="C400" s="13" t="inlineStr">
        <is>
          <t>HLD</t>
        </is>
      </c>
      <c r="D400" s="16" t="inlineStr">
        <is>
          <t>Intermediate</t>
        </is>
      </c>
      <c r="E400" s="13" t="inlineStr">
        <is>
          <t>Compare a counter-based ID with hashing the long URL for key generation.</t>
        </is>
      </c>
      <c r="F400" s="13" t="inlineStr">
        <is>
          <t>- Counter + base62: guaranteed unique, no collision checks, but sequential codes are guessable and a single counter is a bottleneck; fix with range allocation per server (each takes a block of 1000 IDs) or Snowflake IDs.
- Hash (MD5/SHA of URL, take the first 7 chars): the same URL gives the same code, but truncation causes collisions that need a check-and-retry (append a salt and rehash).
- A pre-generated key service that hands out unused random keys is another option.</t>
        </is>
      </c>
      <c r="G400" s="13" t="inlineStr"/>
    </row>
    <row r="401">
      <c r="A401" s="13" t="n">
        <v>34</v>
      </c>
      <c r="B401" s="24" t="n">
        <v>46326</v>
      </c>
      <c r="C401" s="13" t="inlineStr">
        <is>
          <t>HLD</t>
        </is>
      </c>
      <c r="D401" s="16" t="inlineStr">
        <is>
          <t>Intermediate</t>
        </is>
      </c>
      <c r="E401" s="13" t="inlineStr">
        <is>
          <t>Should redirects use 301 or 302?</t>
        </is>
      </c>
      <c r="F401" s="13" t="inlineStr">
        <is>
          <t>301 (Moved Permanently) lets browsers and CDNs cache the redirect, cutting load and latency, but later clicks never reach your servers, so you lose analytics and cannot change or expire the link reliably. 302 (Found) or 307 sends every click to you, enabling analytics, expiry and edits at the cost of more traffic. Most commercial shorteners use 302 for that reason.</t>
        </is>
      </c>
      <c r="G401" s="13" t="inlineStr"/>
    </row>
    <row r="402">
      <c r="A402" s="13" t="n">
        <v>34</v>
      </c>
      <c r="B402" s="24" t="n">
        <v>46326</v>
      </c>
      <c r="C402" s="13" t="inlineStr">
        <is>
          <t>HLD</t>
        </is>
      </c>
      <c r="D402" s="17" t="inlineStr">
        <is>
          <t>Advanced</t>
        </is>
      </c>
      <c r="E402" s="13" t="inlineStr">
        <is>
          <t>How would you scale the redirect path to handle a very high read load?</t>
        </is>
      </c>
      <c r="F402" s="13" t="inlineStr">
        <is>
          <t>Put a cache (Redis) in front of the database with the short code as key; hot links follow a power-law, so an LRU cache with a high hit ratio absorbs most reads. Use a key-value store like DynamoDB or Cassandra, partitioned by short code, for the mapping. Add CDN or edge caching for the most popular links and run stateless redirect servers behind a load balancer. Send click analytics asynchronously through a queue so they never slow down the redirect.</t>
        </is>
      </c>
      <c r="G402" s="13" t="inlineStr"/>
    </row>
    <row r="403">
      <c r="A403" s="13" t="n">
        <v>34</v>
      </c>
      <c r="B403" s="24" t="n">
        <v>46326</v>
      </c>
      <c r="C403" s="13" t="inlineStr">
        <is>
          <t>HLD</t>
        </is>
      </c>
      <c r="D403" s="17" t="inlineStr">
        <is>
          <t>Advanced</t>
        </is>
      </c>
      <c r="E403" s="13" t="inlineStr">
        <is>
          <t>How do you handle custom aliases, expiry and abuse in a URL shortener?</t>
        </is>
      </c>
      <c r="F403" s="13" t="inlineStr">
        <is>
          <t>Custom aliases go into the same key space with a conditional insert (insert-if-not-exists) so two users cannot claim the same alias. Expiry is stored per record; the redirect path checks it and returns 404/410, and a background job or DB TTL cleans up. For abuse, rate-limit creation per user and IP, check long URLs against malware and phishing lists, and block custom aliases that clash with reserved words or impersonate brands.</t>
        </is>
      </c>
      <c r="G403" s="13" t="inlineStr"/>
    </row>
    <row r="404">
      <c r="A404" s="13" t="n">
        <v>34</v>
      </c>
      <c r="B404" s="24" t="n">
        <v>46326</v>
      </c>
      <c r="C404" s="13" t="inlineStr">
        <is>
          <t>LLD</t>
        </is>
      </c>
      <c r="D404" s="18" t="inlineStr">
        <is>
          <t>Basic</t>
        </is>
      </c>
      <c r="E404" s="13" t="inlineStr">
        <is>
          <t>How do you convert a number to base62 in C#?</t>
        </is>
      </c>
      <c r="F404" s="13" t="inlineStr">
        <is>
          <t>Repeatedly divide by 62 and map each remainder to a character, then reverse.
```csharp
const string Alphabet =
  "0123456789abcdefghijklmnopqrstuvwxyzABCDEFGHIJKLMNOPQRSTUVWXYZ";
public static string Encode(long n) {
    if (n == 0) return "0";
    var sb = new StringBuilder();
    while (n &gt; 0) { sb.Insert(0, Alphabet[(int)(n % 62)]); n /= 62; }
    return sb.ToString();
}
```
Decoding reverses it: result = result * 62 + index of each character.</t>
        </is>
      </c>
      <c r="G404" s="13" t="inlineStr"/>
    </row>
    <row r="405">
      <c r="A405" s="13" t="n">
        <v>34</v>
      </c>
      <c r="B405" s="24" t="n">
        <v>46326</v>
      </c>
      <c r="C405" s="13" t="inlineStr">
        <is>
          <t>LLD</t>
        </is>
      </c>
      <c r="D405" s="18" t="inlineStr">
        <is>
          <t>Basic</t>
        </is>
      </c>
      <c r="E405" s="13" t="inlineStr">
        <is>
          <t>What classes would you define in a URL shortener LLD?</t>
        </is>
      </c>
      <c r="F405" s="13" t="inlineStr">
        <is>
          <t>- ShortUrl entity: Code, LongUrl, CreatedAt, ExpiresAt, OwnerId.
- IIdGenerator: NextId(), with implementations like a counter or Snowflake.
- ICodeEncoder: Encode(long) and Decode(string), such as Base62Encoder.
- IUrlRepository: Save, FindByCode, Exists.
- UrlShortenerService: Shorten(longUrl, alias?, expiry?) and Resolve(code).
Keeping ID generation and encoding behind interfaces lets you swap strategies without touching the service.</t>
        </is>
      </c>
      <c r="G405" s="13" t="inlineStr"/>
    </row>
    <row r="406">
      <c r="A406" s="13" t="n">
        <v>34</v>
      </c>
      <c r="B406" s="24" t="n">
        <v>46326</v>
      </c>
      <c r="C406" s="13" t="inlineStr">
        <is>
          <t>LLD</t>
        </is>
      </c>
      <c r="D406" s="16" t="inlineStr">
        <is>
          <t>Intermediate</t>
        </is>
      </c>
      <c r="E406" s="13" t="inlineStr">
        <is>
          <t>How would you design a thread-safe ID generator for a single process?</t>
        </is>
      </c>
      <c r="F406" s="13" t="inlineStr">
        <is>
          <t>Use Interlocked.Increment on a long field, which is atomic and lock-free, instead of lock or a plain ++ that can produce duplicates under concurrency. To survive restarts, the generator should reserve ranges from durable storage (for example take IDs 1000-1999 from the DB) and hand them out in memory, fetching a new block when exhausted. Register it as a singleton in DI.</t>
        </is>
      </c>
      <c r="G406" s="13" t="inlineStr"/>
    </row>
    <row r="407">
      <c r="A407" s="13" t="n">
        <v>34</v>
      </c>
      <c r="B407" s="24" t="n">
        <v>46326</v>
      </c>
      <c r="C407" s="13" t="inlineStr">
        <is>
          <t>LLD</t>
        </is>
      </c>
      <c r="D407" s="16" t="inlineStr">
        <is>
          <t>Intermediate</t>
        </is>
      </c>
      <c r="E407" s="13" t="inlineStr">
        <is>
          <t>How does a Snowflake-style ID generator work?</t>
        </is>
      </c>
      <c r="F407" s="13" t="inlineStr">
        <is>
          <t>It builds a 64-bit ID from a timestamp in milliseconds (about 41 bits), a machine or worker ID (about 10 bits) and a per-millisecond sequence (about 12 bits). IDs are unique across machines without coordination and roughly time-sorted. The implementation must lock or use atomic operations around the sequence, wait for the next millisecond if the sequence overflows, and handle clock moving backwards by refusing to generate or waiting.</t>
        </is>
      </c>
      <c r="G407" s="13" t="inlineStr"/>
    </row>
    <row r="408">
      <c r="A408" s="13" t="n">
        <v>34</v>
      </c>
      <c r="B408" s="24" t="n">
        <v>46326</v>
      </c>
      <c r="C408" s="13" t="inlineStr">
        <is>
          <t>LLD</t>
        </is>
      </c>
      <c r="D408" s="17" t="inlineStr">
        <is>
          <t>Advanced</t>
        </is>
      </c>
      <c r="E408" s="13" t="inlineStr">
        <is>
          <t>How would you handle hash collisions if you generate codes by hashing the URL?</t>
        </is>
      </c>
      <c r="F408" s="13" t="inlineStr">
        <is>
          <t>Take the first 7 base62 characters of the hash, then try to insert with a unique constraint on Code. If the insert fails because the code exists for a different URL, append a counter or salt to the input and hash again, retrying a bounded number of times. Relying on the database unique constraint rather than a separate exists-then-insert check avoids race conditions between concurrent requests.</t>
        </is>
      </c>
      <c r="G408" s="13" t="inlineStr"/>
    </row>
    <row r="409">
      <c r="A409" s="13" t="n">
        <v>34</v>
      </c>
      <c r="B409" s="24" t="n">
        <v>46326</v>
      </c>
      <c r="C409" s="13" t="inlineStr">
        <is>
          <t>LLD</t>
        </is>
      </c>
      <c r="D409" s="17" t="inlineStr">
        <is>
          <t>Advanced</t>
        </is>
      </c>
      <c r="E409" s="13" t="inlineStr">
        <is>
          <t>Which design patterns fit naturally in a URL shortener LLD?</t>
        </is>
      </c>
      <c r="F409" s="13" t="inlineStr">
        <is>
          <t>- Strategy: interchangeable code-generation strategies (counter+base62, hash, random key pool) behind one interface.
- Decorator: a CachingUrlRepository wrapping the real repository to add Redis caching transparently.
- Factory: build a ShortUrl with validation (valid URI, allowed scheme, alias rules).
- Observer or domain events: publish a LinkClicked event for analytics without coupling the redirect logic to it.</t>
        </is>
      </c>
      <c r="G409" s="13" t="inlineStr"/>
    </row>
    <row r="410">
      <c r="A410" s="13" t="n">
        <v>35</v>
      </c>
      <c r="B410" s="24" t="n">
        <v>46327</v>
      </c>
      <c r="C410" s="13" t="inlineStr">
        <is>
          <t>HLD</t>
        </is>
      </c>
      <c r="D410" s="18" t="inlineStr">
        <is>
          <t>Basic</t>
        </is>
      </c>
      <c r="E410" s="13" t="inlineStr">
        <is>
          <t>Rapid fire: what does an API gateway do, and what is a BFF?</t>
        </is>
      </c>
      <c r="F410" s="13" t="inlineStr">
        <is>
          <t>An API gateway is the single entry point that handles routing, TLS termination, authentication, rate limiting and request aggregation for backend services. A Backend-for-Frontend is a dedicated gateway or backend per client type (web, mobile) that shapes responses to what that client needs. The gateway handles cross-cutting concerns; the BFF handles client-specific composition.</t>
        </is>
      </c>
      <c r="G410" s="13" t="inlineStr"/>
    </row>
    <row r="411">
      <c r="A411" s="13" t="n">
        <v>35</v>
      </c>
      <c r="B411" s="24" t="n">
        <v>46327</v>
      </c>
      <c r="C411" s="13" t="inlineStr">
        <is>
          <t>HLD</t>
        </is>
      </c>
      <c r="D411" s="18" t="inlineStr">
        <is>
          <t>Basic</t>
        </is>
      </c>
      <c r="E411" s="13" t="inlineStr">
        <is>
          <t>Rapid fire: authentication vs authorization, and what is inside a JWT?</t>
        </is>
      </c>
      <c r="F411" s="13" t="inlineStr">
        <is>
          <t>Authentication is who you are (401 on failure), authorization is what you may do (403 on failure). A JWT is header.payload.signature: the header names the algorithm, the payload carries claims like sub, exp, aud and roles, and the signature prevents tampering. It is signed, not encrypted, so it must not contain secrets.</t>
        </is>
      </c>
      <c r="G411" s="13" t="inlineStr"/>
    </row>
    <row r="412">
      <c r="A412" s="13" t="n">
        <v>35</v>
      </c>
      <c r="B412" s="24" t="n">
        <v>46327</v>
      </c>
      <c r="C412" s="13" t="inlineStr">
        <is>
          <t>HLD</t>
        </is>
      </c>
      <c r="D412" s="16" t="inlineStr">
        <is>
          <t>Intermediate</t>
        </is>
      </c>
      <c r="E412" s="13" t="inlineStr">
        <is>
          <t>Rapid fire: when should you split a monolith, and sync vs async calls?</t>
        </is>
      </c>
      <c r="F412" s="13" t="inlineStr">
        <is>
          <t>Start with a modular monolith and split along business capabilities when teams, scaling needs or deploy cadence clearly diverge; each service owns its own database. Sync calls (REST/gRPC) are simple but couple availability and latency, since if B is down A fails. Async messaging decouples services in time and absorbs spikes, at the cost of eventual consistency and harder debugging.</t>
        </is>
      </c>
      <c r="G412" s="13" t="inlineStr"/>
    </row>
    <row r="413">
      <c r="A413" s="13" t="n">
        <v>35</v>
      </c>
      <c r="B413" s="24" t="n">
        <v>46327</v>
      </c>
      <c r="C413" s="13" t="inlineStr">
        <is>
          <t>HLD</t>
        </is>
      </c>
      <c r="D413" s="16" t="inlineStr">
        <is>
          <t>Intermediate</t>
        </is>
      </c>
      <c r="E413" s="13" t="inlineStr">
        <is>
          <t>Rapid fire: liveness vs readiness, and what ties logs, metrics and traces together?</t>
        </is>
      </c>
      <c r="F413" s="13" t="inlineStr">
        <is>
          <t>Liveness failing means restart the container; readiness failing means stop sending traffic but keep it running. Logs are events, metrics are numbers over time, traces follow one request across services. A correlation or trace ID propagated through headers ties all three together, and alerts should fire on user-facing symptoms like latency and errors.</t>
        </is>
      </c>
      <c r="G413" s="13" t="inlineStr"/>
    </row>
    <row r="414">
      <c r="A414" s="13" t="n">
        <v>35</v>
      </c>
      <c r="B414" s="24" t="n">
        <v>46327</v>
      </c>
      <c r="C414" s="13" t="inlineStr">
        <is>
          <t>HLD</t>
        </is>
      </c>
      <c r="D414" s="17" t="inlineStr">
        <is>
          <t>Advanced</t>
        </is>
      </c>
      <c r="E414" s="13" t="inlineStr">
        <is>
          <t>Explain the OAuth2 authorization code flow with PKCE out loud in under a minute.</t>
        </is>
      </c>
      <c r="F414" s="13" t="inlineStr">
        <is>
          <t>The app generates a code_verifier and sends its hash as code_challenge when redirecting the user to the authorization server. The user logs in and consents, and the server redirects back with a one-time authorization code. The app exchanges the code plus the code_verifier (and client secret if confidential) at the token endpoint for an access token and refresh token. It then calls APIs with the access token and uses the refresh token to renew it when it expires.</t>
        </is>
      </c>
      <c r="G414" s="13" t="inlineStr"/>
    </row>
    <row r="415">
      <c r="A415" s="13" t="n">
        <v>35</v>
      </c>
      <c r="B415" s="24" t="n">
        <v>46327</v>
      </c>
      <c r="C415" s="13" t="inlineStr">
        <is>
          <t>HLD</t>
        </is>
      </c>
      <c r="D415" s="17" t="inlineStr">
        <is>
          <t>Advanced</t>
        </is>
      </c>
      <c r="E415" s="13" t="inlineStr">
        <is>
          <t>Walk through the URL shortener design end to end.</t>
        </is>
      </c>
      <c r="F415" s="13" t="inlineStr">
        <is>
          <t>Writes: the API validates the URL, gets a unique ID from a range-based or Snowflake generator, encodes it in base62 to 7 characters and stores code-to-URL in a key-value store partitioned by code. Reads: the redirect service checks Redis first, then the DB, and returns a 302 so analytics and expiry keep working. Click events are pushed to a queue for async analytics. Stateless services behind a load balancer, cache for hot links and CDN at the edge handle the heavy read skew.</t>
        </is>
      </c>
      <c r="G415" s="13" t="inlineStr"/>
    </row>
    <row r="416">
      <c r="A416" s="13" t="n">
        <v>35</v>
      </c>
      <c r="B416" s="24" t="n">
        <v>46327</v>
      </c>
      <c r="C416" s="13" t="inlineStr">
        <is>
          <t>LLD</t>
        </is>
      </c>
      <c r="D416" s="18" t="inlineStr">
        <is>
          <t>Basic</t>
        </is>
      </c>
      <c r="E416" s="13" t="inlineStr">
        <is>
          <t>Rapid fire: what is the Facade pattern?</t>
        </is>
      </c>
      <c r="F416" s="13" t="inlineStr">
        <is>
          <t>Facade provides one simple interface over a complex subsystem, for example an OrderFacade.PlaceOrder() that coordinates inventory, payment and shipping services. Clients depend on the facade instead of many classes, which reduces coupling. It simplifies but does not add behaviour or hide access; the subsystem can still be used directly when needed.</t>
        </is>
      </c>
      <c r="G416" s="13" t="inlineStr"/>
    </row>
    <row r="417">
      <c r="A417" s="13" t="n">
        <v>35</v>
      </c>
      <c r="B417" s="24" t="n">
        <v>46327</v>
      </c>
      <c r="C417" s="13" t="inlineStr">
        <is>
          <t>LLD</t>
        </is>
      </c>
      <c r="D417" s="18" t="inlineStr">
        <is>
          <t>Basic</t>
        </is>
      </c>
      <c r="E417" s="13" t="inlineStr">
        <is>
          <t>Rapid fire: what is the Adapter pattern?</t>
        </is>
      </c>
      <c r="F417" s="13" t="inlineStr">
        <is>
          <t>Adapter converts one interface into another that the client expects, letting incompatible classes work together. A typical example is wrapping a third-party SMS SDK in a class that implements your own ISmsSender. It is ideal for integrating legacy code or vendor libraries without changing your domain code.</t>
        </is>
      </c>
      <c r="G417" s="13" t="inlineStr"/>
    </row>
    <row r="418">
      <c r="A418" s="13" t="n">
        <v>35</v>
      </c>
      <c r="B418" s="24" t="n">
        <v>46327</v>
      </c>
      <c r="C418" s="13" t="inlineStr">
        <is>
          <t>LLD</t>
        </is>
      </c>
      <c r="D418" s="16" t="inlineStr">
        <is>
          <t>Intermediate</t>
        </is>
      </c>
      <c r="E418" s="13" t="inlineStr">
        <is>
          <t>Facade vs Adapter - what is the key difference?</t>
        </is>
      </c>
      <c r="F418" s="13" t="inlineStr">
        <is>
          <t>Adapter's goal is compatibility: it makes an existing interface match a required one, usually wrapping a single class. Facade's goal is simplicity: it defines a new, easier interface over many classes. Both wrap other objects, so interviewers look for the intent: Adapter translates, Facade simplifies.</t>
        </is>
      </c>
      <c r="G418" s="13" t="inlineStr"/>
    </row>
    <row r="419">
      <c r="A419" s="13" t="n">
        <v>35</v>
      </c>
      <c r="B419" s="24" t="n">
        <v>46327</v>
      </c>
      <c r="C419" s="13" t="inlineStr">
        <is>
          <t>LLD</t>
        </is>
      </c>
      <c r="D419" s="16" t="inlineStr">
        <is>
          <t>Intermediate</t>
        </is>
      </c>
      <c r="E419" s="13" t="inlineStr">
        <is>
          <t>Rapid fire: name the .NET DI lifetimes and the captive dependency problem.</t>
        </is>
      </c>
      <c r="F419" s="13" t="inlineStr">
        <is>
          <t>Transient is new every resolve, Scoped is one per request, and Singleton is one for the app lifetime. A captive dependency is a longer-lived service holding a shorter-lived one, such as a singleton with a scoped DbContext, which causes shared state and threading bugs. ValidateScopes catches it in Development, and IServiceScopeFactory is the fix.</t>
        </is>
      </c>
      <c r="G419" s="13" t="inlineStr"/>
    </row>
    <row r="420">
      <c r="A420" s="13" t="n">
        <v>35</v>
      </c>
      <c r="B420" s="24" t="n">
        <v>46327</v>
      </c>
      <c r="C420" s="13" t="inlineStr">
        <is>
          <t>LLD</t>
        </is>
      </c>
      <c r="D420" s="17" t="inlineStr">
        <is>
          <t>Advanced</t>
        </is>
      </c>
      <c r="E420" s="13" t="inlineStr">
        <is>
          <t>How do Adapter and DI work together when integrating a third-party payment provider?</t>
        </is>
      </c>
      <c r="F420" s="13" t="inlineStr">
        <is>
          <t>Define your own IPaymentGateway interface in the domain, write RazorpayAdapter and StripeAdapter that translate your calls into each SDK's API, and register the chosen adapter in DI. Business services depend only on IPaymentGateway, so switching providers is a one-line registration change, and tests use a fake gateway.
```csharp
services.AddScoped&lt;IPaymentGateway, RazorpayAdapter&gt;();
```</t>
        </is>
      </c>
      <c r="G420" s="13" t="inlineStr"/>
    </row>
    <row r="421">
      <c r="A421" s="13" t="n">
        <v>35</v>
      </c>
      <c r="B421" s="24" t="n">
        <v>46327</v>
      </c>
      <c r="C421" s="13" t="inlineStr">
        <is>
          <t>LLD</t>
        </is>
      </c>
      <c r="D421" s="17" t="inlineStr">
        <is>
          <t>Advanced</t>
        </is>
      </c>
      <c r="E421" s="13" t="inlineStr">
        <is>
          <t>How would you combine Facade, Strategy and DI in the auth module you designed this week?</t>
        </is>
      </c>
      <c r="F421" s="13" t="inlineStr">
        <is>
          <t>An AuthFacade (IAuthService) exposes Login, Refresh and Logout and hides the password hasher, token service, user repository and authenticator selection. Login methods (password, OTP, Google) are Strategy implementations of IAuthenticator, resolved through keyed services or IEnumerable&lt;IAuthenticator&gt;. All collaborators are constructor-injected interfaces with correct lifetimes: token service and hasher as singletons, repositories as scoped.</t>
        </is>
      </c>
      <c r="G421" s="13" t="inlineStr"/>
    </row>
    <row r="422">
      <c r="A422" s="13" t="n">
        <v>36</v>
      </c>
      <c r="B422" s="24" t="n">
        <v>46328</v>
      </c>
      <c r="C422" s="13" t="inlineStr">
        <is>
          <t>HLD</t>
        </is>
      </c>
      <c r="D422" s="18" t="inlineStr">
        <is>
          <t>Basic</t>
        </is>
      </c>
      <c r="E422" s="13" t="inlineStr">
        <is>
          <t>What are the core components of a job scheduler?</t>
        </is>
      </c>
      <c r="F422" s="13" t="inlineStr">
        <is>
          <t>- Job store: a durable table or queue holding job definition, payload, next run time, status and retry count.
- Poller or dispatcher: periodically picks jobs whose run time is due.
- Workers: execute jobs, report success or failure.
- Retry and dead-letter handling: backoff on failure and park jobs that keep failing.
Examples in .NET are Hangfire and Quartz.NET; in the cloud, EventBridge Scheduler or Azure Functions timers.</t>
        </is>
      </c>
      <c r="G422" s="13" t="inlineStr"/>
    </row>
    <row r="423">
      <c r="A423" s="13" t="n">
        <v>36</v>
      </c>
      <c r="B423" s="24" t="n">
        <v>46328</v>
      </c>
      <c r="C423" s="13" t="inlineStr">
        <is>
          <t>HLD</t>
        </is>
      </c>
      <c r="D423" s="18" t="inlineStr">
        <is>
          <t>Basic</t>
        </is>
      </c>
      <c r="E423" s="13" t="inlineStr">
        <is>
          <t>What is a priority queue and where is it used in system design?</t>
        </is>
      </c>
      <c r="F423" s="13" t="inlineStr">
        <is>
          <t>A priority queue always returns the highest-priority item first instead of the oldest, usually backed by a binary heap with O(log n) insert and remove. In systems it is used for job schedulers (by run time or priority), task processing where paid users' jobs go first, and Dijkstra-style routing. At scale, priorities are often implemented as separate queues per priority level that workers drain in weighted order.</t>
        </is>
      </c>
      <c r="G423" s="13" t="inlineStr"/>
    </row>
    <row r="424">
      <c r="A424" s="13" t="n">
        <v>36</v>
      </c>
      <c r="B424" s="24" t="n">
        <v>46328</v>
      </c>
      <c r="C424" s="13" t="inlineStr">
        <is>
          <t>HLD</t>
        </is>
      </c>
      <c r="D424" s="16" t="inlineStr">
        <is>
          <t>Intermediate</t>
        </is>
      </c>
      <c r="E424" s="13" t="inlineStr">
        <is>
          <t>How do you ensure a scheduled job runs exactly once when you have multiple scheduler instances?</t>
        </is>
      </c>
      <c r="F424" s="13" t="inlineStr">
        <is>
          <t>Use a claim step that only one instance can win: for example UPDATE jobs SET status='Running', owner=@me WHERE id=@id AND status='Pending' and check that one row changed, or SELECT ... FOR UPDATE SKIP LOCKED to grab due jobs. Alternatively take a distributed lock (Redis SET NX with TTL) or elect a single leader to dispatch. Because a worker can still crash after doing the work, jobs should also be idempotent.</t>
        </is>
      </c>
      <c r="G424" s="13" t="inlineStr"/>
    </row>
    <row r="425">
      <c r="A425" s="13" t="n">
        <v>36</v>
      </c>
      <c r="B425" s="24" t="n">
        <v>46328</v>
      </c>
      <c r="C425" s="13" t="inlineStr">
        <is>
          <t>HLD</t>
        </is>
      </c>
      <c r="D425" s="16" t="inlineStr">
        <is>
          <t>Intermediate</t>
        </is>
      </c>
      <c r="E425" s="13" t="inlineStr">
        <is>
          <t>How do you store and efficiently find due jobs among millions?</t>
        </is>
      </c>
      <c r="F425" s="13" t="inlineStr">
        <is>
          <t>Index the job table on (status, next_run_at) so the poller runs a cheap range query for pending jobs with next_run_at &lt;= now, fetched in small batches. For Redis-based schedulers, use a sorted set with the run timestamp as the score and ZRANGEBYSCORE to pop due items. For very large volumes, partition jobs by time bucket or hash so multiple dispatchers work on separate shards.</t>
        </is>
      </c>
      <c r="G425" s="13" t="inlineStr"/>
    </row>
    <row r="426">
      <c r="A426" s="13" t="n">
        <v>36</v>
      </c>
      <c r="B426" s="24" t="n">
        <v>46328</v>
      </c>
      <c r="C426" s="13" t="inlineStr">
        <is>
          <t>HLD</t>
        </is>
      </c>
      <c r="D426" s="17" t="inlineStr">
        <is>
          <t>Advanced</t>
        </is>
      </c>
      <c r="E426" s="13" t="inlineStr">
        <is>
          <t>How would you design retries and failure handling in a distributed scheduler?</t>
        </is>
      </c>
      <c r="F426" s="13" t="inlineStr">
        <is>
          <t>Each job has max attempts and exponential backoff with jitter: on failure, increment attempts and set next_run_at = now + base * 2^attempt plus random jitter. A job that is 'Running' but whose heartbeat or lease expired is considered crashed and becomes eligible again. After max attempts, move it to a dead-letter state with the error for manual inspection. Execution history is kept for auditing, and jobs must be idempotent since at-least-once is the realistic guarantee.</t>
        </is>
      </c>
      <c r="G426" s="13" t="inlineStr"/>
    </row>
    <row r="427">
      <c r="A427" s="13" t="n">
        <v>36</v>
      </c>
      <c r="B427" s="24" t="n">
        <v>46328</v>
      </c>
      <c r="C427" s="13" t="inlineStr">
        <is>
          <t>HLD</t>
        </is>
      </c>
      <c r="D427" s="17" t="inlineStr">
        <is>
          <t>Advanced</t>
        </is>
      </c>
      <c r="E427" s="13" t="inlineStr">
        <is>
          <t>How would you design a scheduler for cron-style recurring jobs at large scale?</t>
        </is>
      </c>
      <c r="F427" s="13" t="inlineStr">
        <is>
          <t>Store the cron expression and compute the next fire time after each run instead of scanning every job every minute. Partition jobs across scheduler nodes using consistent hashing or leases, so each node only triggers its own shard, and rebalance when nodes join or die. The scheduler only enqueues work onto a message queue; a separate pool of workers executes it, so slow jobs do not delay triggering. Handle missed fires after downtime with a misfire policy: run once, run all, or skip.</t>
        </is>
      </c>
      <c r="G427" s="13" t="inlineStr"/>
    </row>
    <row r="428">
      <c r="A428" s="13" t="n">
        <v>36</v>
      </c>
      <c r="B428" s="24" t="n">
        <v>46328</v>
      </c>
      <c r="C428" s="13" t="inlineStr">
        <is>
          <t>LLD</t>
        </is>
      </c>
      <c r="D428" s="18" t="inlineStr">
        <is>
          <t>Basic</t>
        </is>
      </c>
      <c r="E428" s="13" t="inlineStr">
        <is>
          <t>What clarifying questions and requirements would you list for a Parking Lot LLD?</t>
        </is>
      </c>
      <c r="F428" s="13" t="inlineStr">
        <is>
          <t>- How many floors and entry/exit gates?
- Which vehicle types (bike, car, truck) and spot sizes (small, compact, large)?
- Can a smaller vehicle use a larger spot?
- How is pricing done: hourly, flat, by vehicle type?
- Payment methods and whether we need a display board of free spots.
Then fix core use cases: park vehicle and issue ticket, unpark and pay, show availability.</t>
        </is>
      </c>
      <c r="G428" s="13" t="inlineStr"/>
    </row>
    <row r="429">
      <c r="A429" s="13" t="n">
        <v>36</v>
      </c>
      <c r="B429" s="24" t="n">
        <v>46328</v>
      </c>
      <c r="C429" s="13" t="inlineStr">
        <is>
          <t>LLD</t>
        </is>
      </c>
      <c r="D429" s="18" t="inlineStr">
        <is>
          <t>Basic</t>
        </is>
      </c>
      <c r="E429" s="13" t="inlineStr">
        <is>
          <t>What are the main entities in a Parking Lot design?</t>
        </is>
      </c>
      <c r="F429" s="13" t="inlineStr">
        <is>
          <t>ParkingLot (has floors and gates), ParkingFloor (has spots), ParkingSpot (id, type, isFree, current vehicle), Vehicle (plate, type), Ticket (id, vehicle, spot, entry time), EntryGate and ExitGate, Payment, and enums VehicleType and SpotType. Services like ParkingService coordinate the flow. Interviewers want clear ownership: the lot owns floors, floors own spots, and tickets link a vehicle to a spot for a time window.</t>
        </is>
      </c>
      <c r="G429" s="13" t="inlineStr"/>
    </row>
    <row r="430">
      <c r="A430" s="13" t="n">
        <v>36</v>
      </c>
      <c r="B430" s="24" t="n">
        <v>46328</v>
      </c>
      <c r="C430" s="13" t="inlineStr">
        <is>
          <t>LLD</t>
        </is>
      </c>
      <c r="D430" s="16" t="inlineStr">
        <is>
          <t>Intermediate</t>
        </is>
      </c>
      <c r="E430" s="13" t="inlineStr">
        <is>
          <t>Would you model vehicle types with inheritance or an enum?</t>
        </is>
      </c>
      <c r="F430" s="13" t="inlineStr">
        <is>
          <t>If vehicle types only differ in data (which spot size they need), an enum VehicleType plus a mapping to allowed spot types is simpler and avoids pointless subclasses. Use an abstract Vehicle with subclasses (Car, Bike, Truck) only if types have genuinely different behaviour. A common interview answer is an abstract Vehicle with a VehicleType property, which keeps it extensible without overdoing hierarchy. Favour composition over deep inheritance.</t>
        </is>
      </c>
      <c r="G430" s="13" t="inlineStr"/>
    </row>
    <row r="431">
      <c r="A431" s="13" t="n">
        <v>36</v>
      </c>
      <c r="B431" s="24" t="n">
        <v>46328</v>
      </c>
      <c r="C431" s="13" t="inlineStr">
        <is>
          <t>LLD</t>
        </is>
      </c>
      <c r="D431" s="16" t="inlineStr">
        <is>
          <t>Intermediate</t>
        </is>
      </c>
      <c r="E431" s="13" t="inlineStr">
        <is>
          <t>Should ParkingLot be a Singleton?</t>
        </is>
      </c>
      <c r="F431" s="13" t="inlineStr">
        <is>
          <t>Many interview solutions make it a singleton because there is one physical lot per system instance, but a better answer is to register it as a singleton in DI rather than use a static Instance property. That keeps it testable and allows multiple lots later (a chain of malls) without redesign. If you do write a classic singleton in C#, use Lazy&lt;T&gt; for thread-safe initialization.</t>
        </is>
      </c>
      <c r="G431" s="13" t="inlineStr"/>
    </row>
    <row r="432">
      <c r="A432" s="13" t="n">
        <v>36</v>
      </c>
      <c r="B432" s="24" t="n">
        <v>46328</v>
      </c>
      <c r="C432" s="13" t="inlineStr">
        <is>
          <t>LLD</t>
        </is>
      </c>
      <c r="D432" s="17" t="inlineStr">
        <is>
          <t>Advanced</t>
        </is>
      </c>
      <c r="E432" s="13" t="inlineStr">
        <is>
          <t>Sketch the core class skeleton for spots and tickets.</t>
        </is>
      </c>
      <c r="F432" s="13" t="inlineStr">
        <is>
          <t>```csharp
public enum SpotType { Small, Compact, Large }
public class ParkingSpot {
    public string Id { get; }
    public SpotType Type { get; }
    public Vehicle? Vehicle { get; private set; }
    public bool IsFree =&gt; Vehicle is null;
    public void Park(Vehicle v) { if (!IsFree) throw new InvalidOperationException(); Vehicle = v; }
    public void Free() =&gt; Vehicle = null;
}
public record Ticket(string Id, Vehicle Vehicle, ParkingSpot Spot, DateTime EntryTime);
```
State changes go through methods, not public setters, so invariants stay inside the entity.</t>
        </is>
      </c>
      <c r="G432" s="13" t="inlineStr"/>
    </row>
    <row r="433">
      <c r="A433" s="13" t="n">
        <v>36</v>
      </c>
      <c r="B433" s="24" t="n">
        <v>46328</v>
      </c>
      <c r="C433" s="13" t="inlineStr">
        <is>
          <t>LLD</t>
        </is>
      </c>
      <c r="D433" s="17" t="inlineStr">
        <is>
          <t>Advanced</t>
        </is>
      </c>
      <c r="E433" s="13" t="inlineStr">
        <is>
          <t>How do you keep the Parking Lot design open for extension, such as new vehicle types or EV charging spots?</t>
        </is>
      </c>
      <c r="F433" s="13" t="inlineStr">
        <is>
          <t>Depend on abstractions: spot allocation via ISpotAllocationStrategy, pricing via IPricingStrategy, and payment via IPaymentProcessor. New vehicle or spot types are added as enum values plus a compatibility map, or as new classes, without editing the ParkingService. EV charging can be a spot capability or decorator (a spot with a Charger component) rather than a new inheritance branch. This keeps the design aligned with the Open/Closed Principle, which interviewers explicitly check.</t>
        </is>
      </c>
      <c r="G433" s="13" t="inlineStr"/>
    </row>
    <row r="434">
      <c r="A434" s="13" t="n">
        <v>37</v>
      </c>
      <c r="B434" s="24" t="n">
        <v>46329</v>
      </c>
      <c r="C434" s="13" t="inlineStr">
        <is>
          <t>HLD</t>
        </is>
      </c>
      <c r="D434" s="18" t="inlineStr">
        <is>
          <t>Basic</t>
        </is>
      </c>
      <c r="E434" s="13" t="inlineStr">
        <is>
          <t>What problem does consistent hashing solve?</t>
        </is>
      </c>
      <c r="F434" s="13" t="inlineStr">
        <is>
          <t>With simple modulo hashing (hash(key) % N), changing the number of servers N remaps almost every key, which causes a massive cache miss storm or data movement. Consistent hashing places both servers and keys on a hash ring, and each key belongs to the next server clockwise. Adding or removing a server only moves about 1/N of the keys, those between it and its neighbour.</t>
        </is>
      </c>
      <c r="G434" s="13" t="inlineStr"/>
    </row>
    <row r="435">
      <c r="A435" s="13" t="n">
        <v>37</v>
      </c>
      <c r="B435" s="24" t="n">
        <v>46329</v>
      </c>
      <c r="C435" s="13" t="inlineStr">
        <is>
          <t>HLD</t>
        </is>
      </c>
      <c r="D435" s="18" t="inlineStr">
        <is>
          <t>Basic</t>
        </is>
      </c>
      <c r="E435" s="13" t="inlineStr">
        <is>
          <t>How does a key lookup work on a consistent hash ring?</t>
        </is>
      </c>
      <c r="F435" s="13" t="inlineStr">
        <is>
          <t>Hash each server onto positions on a ring (for example 0 to 2^32-1), and store the positions in a sorted structure. To find a key's server, hash the key and find the first server position greater than or equal to it, wrapping around to the start if needed. With a sorted array this is a binary search, O(log n).</t>
        </is>
      </c>
      <c r="G435" s="13" t="inlineStr"/>
    </row>
    <row r="436">
      <c r="A436" s="13" t="n">
        <v>37</v>
      </c>
      <c r="B436" s="24" t="n">
        <v>46329</v>
      </c>
      <c r="C436" s="13" t="inlineStr">
        <is>
          <t>HLD</t>
        </is>
      </c>
      <c r="D436" s="16" t="inlineStr">
        <is>
          <t>Intermediate</t>
        </is>
      </c>
      <c r="E436" s="13" t="inlineStr">
        <is>
          <t>What are virtual nodes and why are they needed?</t>
        </is>
      </c>
      <c r="F436" s="13" t="inlineStr">
        <is>
          <t>With only one point per server, servers land unevenly on the ring and some get much larger arcs, so load is skewed; removing a server also dumps all its load on one neighbour. Virtual nodes place each physical server at many points (for example 100-200) on the ring. This evens out the load statistically, spreads a failed node's keys across many servers, and lets stronger machines take more virtual nodes for weighted distribution.</t>
        </is>
      </c>
      <c r="G436" s="13" t="inlineStr"/>
    </row>
    <row r="437">
      <c r="A437" s="13" t="n">
        <v>37</v>
      </c>
      <c r="B437" s="24" t="n">
        <v>46329</v>
      </c>
      <c r="C437" s="13" t="inlineStr">
        <is>
          <t>HLD</t>
        </is>
      </c>
      <c r="D437" s="16" t="inlineStr">
        <is>
          <t>Intermediate</t>
        </is>
      </c>
      <c r="E437" s="13" t="inlineStr">
        <is>
          <t>Where is consistent hashing used in real systems?</t>
        </is>
      </c>
      <c r="F437" s="13" t="inlineStr">
        <is>
          <t>- Distributed caches: memcached clients (ketama) and Redis clients shard keys across nodes.
- Databases: Cassandra and DynamoDB partition data on a token ring and replicate to the next nodes clockwise.
- Load balancers: sticky routing of users or sessions to backends (Maglev, Envoy ring hash).
- CDNs and object stores for mapping objects to servers.</t>
        </is>
      </c>
      <c r="G437" s="13" t="inlineStr"/>
    </row>
    <row r="438">
      <c r="A438" s="13" t="n">
        <v>37</v>
      </c>
      <c r="B438" s="24" t="n">
        <v>46329</v>
      </c>
      <c r="C438" s="13" t="inlineStr">
        <is>
          <t>HLD</t>
        </is>
      </c>
      <c r="D438" s="17" t="inlineStr">
        <is>
          <t>Advanced</t>
        </is>
      </c>
      <c r="E438" s="13" t="inlineStr">
        <is>
          <t>How is replication done on a consistent hash ring?</t>
        </is>
      </c>
      <c r="F438" s="13" t="inlineStr">
        <is>
          <t>A key is stored on its owning node plus the next N-1 distinct physical nodes clockwise, forming its preference list (skipping virtual nodes of the same physical machine and ideally the same rack or AZ). Reads and writes use quorums such as W + R &gt; N for consistency. When a node is down, a neighbour can temporarily accept writes (hinted handoff) and later hand them back.</t>
        </is>
      </c>
      <c r="G438" s="13" t="inlineStr"/>
    </row>
    <row r="439">
      <c r="A439" s="13" t="n">
        <v>37</v>
      </c>
      <c r="B439" s="24" t="n">
        <v>46329</v>
      </c>
      <c r="C439" s="13" t="inlineStr">
        <is>
          <t>HLD</t>
        </is>
      </c>
      <c r="D439" s="17" t="inlineStr">
        <is>
          <t>Advanced</t>
        </is>
      </c>
      <c r="E439" s="13" t="inlineStr">
        <is>
          <t>What are the limits of consistent hashing and what alternatives exist?</t>
        </is>
      </c>
      <c r="F439" s="13" t="inlineStr">
        <is>
          <t>It still cannot fix hot keys, since one very popular key always maps to one node; you need key splitting, replicas or caching for that. Rebalancing still moves data, which must be streamed and throttled. Alternatives include rendezvous (highest random weight) hashing, which is simpler and needs no ring, jump consistent hash, which is very fast but only supports numbered buckets, and range-based partitioning with a metadata service, which supports range scans.</t>
        </is>
      </c>
      <c r="G439" s="13" t="inlineStr"/>
    </row>
    <row r="440">
      <c r="A440" s="13" t="n">
        <v>37</v>
      </c>
      <c r="B440" s="24" t="n">
        <v>46329</v>
      </c>
      <c r="C440" s="13" t="inlineStr">
        <is>
          <t>LLD</t>
        </is>
      </c>
      <c r="D440" s="18" t="inlineStr">
        <is>
          <t>Basic</t>
        </is>
      </c>
      <c r="E440" s="13" t="inlineStr">
        <is>
          <t>What pattern would you use for parking pricing, and why?</t>
        </is>
      </c>
      <c r="F440" s="13" t="inlineStr">
        <is>
          <t>Strategy pattern: define IPricingStrategy with CalculateFee(Ticket, DateTime exitTime) and implement HourlyPricing, FlatRatePricing, WeekendPricing and so on. The ExitGate or PaymentService receives the strategy through DI and does not care which one is used. New pricing rules are new classes, so existing code is untouched (Open/Closed).</t>
        </is>
      </c>
      <c r="G440" s="13" t="inlineStr"/>
    </row>
    <row r="441">
      <c r="A441" s="13" t="n">
        <v>37</v>
      </c>
      <c r="B441" s="24" t="n">
        <v>46329</v>
      </c>
      <c r="C441" s="13" t="inlineStr">
        <is>
          <t>LLD</t>
        </is>
      </c>
      <c r="D441" s="18" t="inlineStr">
        <is>
          <t>Basic</t>
        </is>
      </c>
      <c r="E441" s="13" t="inlineStr">
        <is>
          <t>How would you allocate a spot to a vehicle?</t>
        </is>
      </c>
      <c r="F441" s="13" t="inlineStr">
        <is>
          <t>Filter spots that are free and compatible with the vehicle type, then choose based on a policy such as nearest to the entry gate or lowest floor first. Wrap the policy in an ISpotAllocationStrategy so it can change. For speed, keep a separate queue or set of free spots per SpotType per floor instead of scanning every spot on each entry.</t>
        </is>
      </c>
      <c r="G441" s="13" t="inlineStr"/>
    </row>
    <row r="442">
      <c r="A442" s="13" t="n">
        <v>37</v>
      </c>
      <c r="B442" s="24" t="n">
        <v>46329</v>
      </c>
      <c r="C442" s="13" t="inlineStr">
        <is>
          <t>LLD</t>
        </is>
      </c>
      <c r="D442" s="16" t="inlineStr">
        <is>
          <t>Intermediate</t>
        </is>
      </c>
      <c r="E442" s="13" t="inlineStr">
        <is>
          <t>Implement a simple hourly pricing strategy with per-vehicle rates.</t>
        </is>
      </c>
      <c r="F442" s="13" t="inlineStr">
        <is>
          <t>```csharp
public interface IPricingStrategy { decimal Calculate(Ticket t, DateTime exit); }
public class HourlyPricing : IPricingStrategy {
    private readonly Dictionary&lt;VehicleType, decimal&gt; _rates = new() {
        [VehicleType.Bike] = 10, [VehicleType.Car] = 30, [VehicleType.Truck] = 60 };
    public decimal Calculate(Ticket t, DateTime exit) {
        var hours = (int)Math.Ceiling((exit - t.EntryTime).TotalHours);
        return Math.Max(1, hours) * _rates[t.Vehicle.Type];
    }
}
```
Rounding up to the next hour and a minimum charge are common business rules to mention.</t>
        </is>
      </c>
      <c r="G442" s="13" t="inlineStr"/>
    </row>
    <row r="443">
      <c r="A443" s="13" t="n">
        <v>37</v>
      </c>
      <c r="B443" s="24" t="n">
        <v>46329</v>
      </c>
      <c r="C443" s="13" t="inlineStr">
        <is>
          <t>LLD</t>
        </is>
      </c>
      <c r="D443" s="16" t="inlineStr">
        <is>
          <t>Intermediate</t>
        </is>
      </c>
      <c r="E443" s="13" t="inlineStr">
        <is>
          <t>How do you support a smaller vehicle using a larger spot?</t>
        </is>
      </c>
      <c r="F443" s="13" t="inlineStr">
        <is>
          <t>Define a compatibility map from VehicleType to an ordered list of acceptable SpotTypes, for example Bike to [Small, Compact, Large] and Car to [Compact, Large]. The allocator tries each spot type in order and takes the first free one, so bikes only use large spots when smaller ones are full. Keeping this map as data or config avoids if-else chains scattered through the code.</t>
        </is>
      </c>
      <c r="G443" s="13" t="inlineStr"/>
    </row>
    <row r="444">
      <c r="A444" s="13" t="n">
        <v>37</v>
      </c>
      <c r="B444" s="24" t="n">
        <v>46329</v>
      </c>
      <c r="C444" s="13" t="inlineStr">
        <is>
          <t>LLD</t>
        </is>
      </c>
      <c r="D444" s="17" t="inlineStr">
        <is>
          <t>Advanced</t>
        </is>
      </c>
      <c r="E444" s="13" t="inlineStr">
        <is>
          <t>How do you prevent two entry gates from assigning the same spot at the same time?</t>
        </is>
      </c>
      <c r="F444" s="13" t="inlineStr">
        <is>
          <t>Allocation is a check-then-act race. In a single process, make the claim atomic: keep free spots in a ConcurrentQueue per type and use TryDequeue, or lock per spot type. In a DB-backed system, claim with a conditional update such as UPDATE spots SET vehicle_id=@v WHERE id=@id AND vehicle_id IS NULL and retry with another spot if zero rows change. Optimistic concurrency (a row version) works too.</t>
        </is>
      </c>
      <c r="G444" s="13" t="inlineStr"/>
    </row>
    <row r="445">
      <c r="A445" s="13" t="n">
        <v>37</v>
      </c>
      <c r="B445" s="24" t="n">
        <v>46329</v>
      </c>
      <c r="C445" s="13" t="inlineStr">
        <is>
          <t>LLD</t>
        </is>
      </c>
      <c r="D445" s="17" t="inlineStr">
        <is>
          <t>Advanced</t>
        </is>
      </c>
      <c r="E445" s="13" t="inlineStr">
        <is>
          <t>How would you combine multiple pricing rules, such as a first-hour flat rate, hourly after that, and a night cap?</t>
        </is>
      </c>
      <c r="F445" s="13" t="inlineStr">
        <is>
          <t>Use a composite or chain of pricing rules, where each rule prices its part of the stay or adjusts the total, rather than one giant if-else strategy. For example, a PricingPipeline applies BaseHourlyRule, then FirstHourFlatRule, then DailyCapRule in order, with each rule as its own class. This is Strategy plus Chain of Responsibility or Decorator, keeps every rule unit-testable, and lets product teams reorder or configure rules without code changes.</t>
        </is>
      </c>
      <c r="G445" s="13" t="inlineStr"/>
    </row>
    <row r="446">
      <c r="A446" s="13" t="n">
        <v>38</v>
      </c>
      <c r="B446" s="24" t="n">
        <v>46330</v>
      </c>
      <c r="C446" s="13" t="inlineStr">
        <is>
          <t>HLD</t>
        </is>
      </c>
      <c r="D446" s="18" t="inlineStr">
        <is>
          <t>Basic</t>
        </is>
      </c>
      <c r="E446" s="13" t="inlineStr">
        <is>
          <t>What is a graph data model?</t>
        </is>
      </c>
      <c r="F446" s="13" t="inlineStr">
        <is>
          <t>Data is modelled as nodes (entities like User, Product) and edges (relationships like FOLLOWS, PURCHASED), and both can hold properties. Relationships are first-class and stored directly rather than rebuilt through joins at query time. It suits data where the connections matter as much as the entities, such as social networks, recommendations and fraud rings.</t>
        </is>
      </c>
      <c r="G446" s="13" t="inlineStr"/>
    </row>
    <row r="447">
      <c r="A447" s="13" t="n">
        <v>38</v>
      </c>
      <c r="B447" s="24" t="n">
        <v>46330</v>
      </c>
      <c r="C447" s="13" t="inlineStr">
        <is>
          <t>HLD</t>
        </is>
      </c>
      <c r="D447" s="18" t="inlineStr">
        <is>
          <t>Basic</t>
        </is>
      </c>
      <c r="E447" s="13" t="inlineStr">
        <is>
          <t>When would you choose a graph database over a relational database?</t>
        </is>
      </c>
      <c r="F447" s="13" t="inlineStr">
        <is>
          <t>Choose a graph DB (Neo4j, Amazon Neptune) when queries traverse many hops with variable depth, such as friends-of-friends, shortest path between users, or detecting circular money transfers. In SQL each hop is another self-join, which gets slow and complex as depth grows. In a graph DB traversal cost depends on the size of the neighbourhood visited, not the total table size (index-free adjacency).</t>
        </is>
      </c>
      <c r="G447" s="13" t="inlineStr"/>
    </row>
    <row r="448">
      <c r="A448" s="13" t="n">
        <v>38</v>
      </c>
      <c r="B448" s="24" t="n">
        <v>46330</v>
      </c>
      <c r="C448" s="13" t="inlineStr">
        <is>
          <t>HLD</t>
        </is>
      </c>
      <c r="D448" s="16" t="inlineStr">
        <is>
          <t>Intermediate</t>
        </is>
      </c>
      <c r="E448" s="13" t="inlineStr">
        <is>
          <t>How would you model 'follows' and 'friends' relationships in a relational DB?</t>
        </is>
      </c>
      <c r="F448" s="13" t="inlineStr">
        <is>
          <t>Use a junction table like Follows(follower_id, followee_id, created_at) with a composite primary key and an index on followee_id for 'who follows me' queries. Friendship is symmetric, so either store both directions or store one row with (min_id, max_id) and query both columns. This handles one-hop queries well at huge scale; that is how most large social networks store their core graph, often sharded by user_id.</t>
        </is>
      </c>
      <c r="G448" s="13" t="inlineStr"/>
    </row>
    <row r="449">
      <c r="A449" s="13" t="n">
        <v>38</v>
      </c>
      <c r="B449" s="24" t="n">
        <v>46330</v>
      </c>
      <c r="C449" s="13" t="inlineStr">
        <is>
          <t>HLD</t>
        </is>
      </c>
      <c r="D449" s="16" t="inlineStr">
        <is>
          <t>Intermediate</t>
        </is>
      </c>
      <c r="E449" s="13" t="inlineStr">
        <is>
          <t>When is a relational database still the right choice for relationship data?</t>
        </is>
      </c>
      <c r="F449" s="13" t="inlineStr">
        <is>
          <t>When most queries are one or two hops (list my followers, check if A follows B), when you need strong transactions and mature tooling, or when the relationships are fixed and well-structured. SQL also has recursive CTEs for occasional hierarchy queries like org charts or category trees. Many teams keep SQL as the source of truth and add a graph DB only for specific traversal-heavy features.</t>
        </is>
      </c>
      <c r="G449" s="13" t="inlineStr"/>
    </row>
    <row r="450">
      <c r="A450" s="13" t="n">
        <v>38</v>
      </c>
      <c r="B450" s="24" t="n">
        <v>46330</v>
      </c>
      <c r="C450" s="13" t="inlineStr">
        <is>
          <t>HLD</t>
        </is>
      </c>
      <c r="D450" s="17" t="inlineStr">
        <is>
          <t>Advanced</t>
        </is>
      </c>
      <c r="E450" s="13" t="inlineStr">
        <is>
          <t>How would you compute 'people you may know' at scale?</t>
        </is>
      </c>
      <c r="F450" s="13" t="inlineStr">
        <is>
          <t>Candidates are friends-of-friends ranked by the number of mutual friends plus other signals like same company or city. A naive 2-hop traversal explodes for users with thousands of friends, so it is computed offline in batch (Spark or graph processing) and the top-K suggestions per user are stored in a cache or KV store. Online, the service just reads the precomputed list and filters out people already connected or blocked.</t>
        </is>
      </c>
      <c r="G450" s="13" t="inlineStr"/>
    </row>
    <row r="451">
      <c r="A451" s="13" t="n">
        <v>38</v>
      </c>
      <c r="B451" s="24" t="n">
        <v>46330</v>
      </c>
      <c r="C451" s="13" t="inlineStr">
        <is>
          <t>HLD</t>
        </is>
      </c>
      <c r="D451" s="17" t="inlineStr">
        <is>
          <t>Advanced</t>
        </is>
      </c>
      <c r="E451" s="13" t="inlineStr">
        <is>
          <t>What are the challenges of sharding a graph database?</t>
        </is>
      </c>
      <c r="F451" s="13" t="inlineStr">
        <is>
          <t>Graph traversals follow edges that can cross any partition, so random sharding turns one query into many network hops. Graph partitioning to minimise cut edges is hard and changes as the graph evolves, and supernodes (celebrities with millions of edges) create hot spots. That is why large systems often shard adjacency lists by user ID in a KV store (like Facebook's TAO) and limit online queries to one or two hops, pushing deeper analysis offline.</t>
        </is>
      </c>
      <c r="G451" s="13" t="inlineStr"/>
    </row>
    <row r="452">
      <c r="A452" s="13" t="n">
        <v>38</v>
      </c>
      <c r="B452" s="24" t="n">
        <v>46330</v>
      </c>
      <c r="C452" s="13" t="inlineStr">
        <is>
          <t>LLD</t>
        </is>
      </c>
      <c r="D452" s="18" t="inlineStr">
        <is>
          <t>Basic</t>
        </is>
      </c>
      <c r="E452" s="13" t="inlineStr">
        <is>
          <t>What entities would you define for an elevator system?</t>
        </is>
      </c>
      <c r="F452" s="13" t="inlineStr">
        <is>
          <t>- ElevatorSystem or Building: owns elevators and floors.
- ElevatorCar: id, current floor, direction, state, request queue.
- Floor with hall buttons (up/down), and the elevator's internal buttons panel.
- Request: source floor, target floor or direction, type (hall or cabin).
- Dispatcher or Controller: assigns hall requests to cars.
- Enums: Direction (Up, Down, Idle) and DoorState (Open, Closed).</t>
        </is>
      </c>
      <c r="G452" s="13" t="inlineStr"/>
    </row>
    <row r="453">
      <c r="A453" s="13" t="n">
        <v>38</v>
      </c>
      <c r="B453" s="24" t="n">
        <v>46330</v>
      </c>
      <c r="C453" s="13" t="inlineStr">
        <is>
          <t>LLD</t>
        </is>
      </c>
      <c r="D453" s="18" t="inlineStr">
        <is>
          <t>Basic</t>
        </is>
      </c>
      <c r="E453" s="13" t="inlineStr">
        <is>
          <t>What is the difference between a hall request and a cabin request?</t>
        </is>
      </c>
      <c r="F453" s="13" t="inlineStr">
        <is>
          <t>A hall (external) request is made from a floor by pressing Up or Down; it only has a floor and a direction, and the dispatcher decides which elevator serves it. A cabin (internal) request is made inside a specific car by pressing a floor number, so it is added directly to that car's stops. Modelling them separately keeps the dispatcher logic clean.</t>
        </is>
      </c>
      <c r="G453" s="13" t="inlineStr"/>
    </row>
    <row r="454">
      <c r="A454" s="13" t="n">
        <v>38</v>
      </c>
      <c r="B454" s="24" t="n">
        <v>46330</v>
      </c>
      <c r="C454" s="13" t="inlineStr">
        <is>
          <t>LLD</t>
        </is>
      </c>
      <c r="D454" s="16" t="inlineStr">
        <is>
          <t>Intermediate</t>
        </is>
      </c>
      <c r="E454" s="13" t="inlineStr">
        <is>
          <t>How does an elevator decide the order of stops?</t>
        </is>
      </c>
      <c r="F454" s="13" t="inlineStr">
        <is>
          <t>The standard approach is the SCAN or LOOK algorithm: keep moving in the current direction, stopping at every requested floor on the way, then reverse when there are no more requests ahead. Implement it with two sorted sets: upStops (ascending) and downStops (descending). This avoids starvation and is how real elevators behave, unlike pure first-come-first-served which zig-zags.</t>
        </is>
      </c>
      <c r="G454" s="13" t="inlineStr"/>
    </row>
    <row r="455">
      <c r="A455" s="13" t="n">
        <v>38</v>
      </c>
      <c r="B455" s="24" t="n">
        <v>46330</v>
      </c>
      <c r="C455" s="13" t="inlineStr">
        <is>
          <t>LLD</t>
        </is>
      </c>
      <c r="D455" s="16" t="inlineStr">
        <is>
          <t>Intermediate</t>
        </is>
      </c>
      <c r="E455" s="13" t="inlineStr">
        <is>
          <t>How would you model the dispatcher that picks which elevator serves a hall call?</t>
        </is>
      </c>
      <c r="F455" s="13" t="inlineStr">
        <is>
          <t>Put the choice behind an IDispatchStrategy with SelectElevator(request, elevators). A common strategy picks the nearest elevator that is idle or already moving towards the request floor in the same direction, falling back to the least-loaded car. Other strategies can be zone-based or optimise energy. Strategy lets you swap algorithms and unit test each in isolation.</t>
        </is>
      </c>
      <c r="G455" s="13" t="inlineStr"/>
    </row>
    <row r="456">
      <c r="A456" s="13" t="n">
        <v>38</v>
      </c>
      <c r="B456" s="24" t="n">
        <v>46330</v>
      </c>
      <c r="C456" s="13" t="inlineStr">
        <is>
          <t>LLD</t>
        </is>
      </c>
      <c r="D456" s="17" t="inlineStr">
        <is>
          <t>Advanced</t>
        </is>
      </c>
      <c r="E456" s="13" t="inlineStr">
        <is>
          <t>Sketch the ElevatorCar class with its stop queues.</t>
        </is>
      </c>
      <c r="F456" s="13" t="inlineStr">
        <is>
          <t>```csharp
public class ElevatorCar {
    public int Id { get; }
    public int CurrentFloor { get; private set; }
    public Direction Direction { get; private set; } = Direction.Idle;
    private readonly SortedSet&lt;int&gt; _up = new();
    private readonly SortedSet&lt;int&gt; _down = new(Comparer&lt;int&gt;.Create((a, b) =&gt; b.CompareTo(a)));
    public void AddStop(int floor) {
        if (floor &gt; CurrentFloor) _up.Add(floor);
        else if (floor &lt; CurrentFloor) _down.Add(floor);
    }
}
```
A Step() method moves one floor, opens doors at stops and flips direction when a set runs empty.</t>
        </is>
      </c>
      <c r="G456" s="13" t="inlineStr"/>
    </row>
    <row r="457">
      <c r="A457" s="13" t="n">
        <v>38</v>
      </c>
      <c r="B457" s="24" t="n">
        <v>46330</v>
      </c>
      <c r="C457" s="13" t="inlineStr">
        <is>
          <t>LLD</t>
        </is>
      </c>
      <c r="D457" s="17" t="inlineStr">
        <is>
          <t>Advanced</t>
        </is>
      </c>
      <c r="E457" s="13" t="inlineStr">
        <is>
          <t>How do you handle concurrency when many buttons are pressed while elevators are moving?</t>
        </is>
      </c>
      <c r="F457" s="13" t="inlineStr">
        <is>
          <t>Treat button presses as events put onto a thread-safe queue (Channel&lt;T&gt; in .NET), and have each elevator run its own loop that processes its requests, so state is only mutated by one thread per car. The dispatcher reads a snapshot of each car's floor and direction to make assignments. This actor-like design avoids locks scattered across the code and makes behaviour deterministic enough to simulate in tests.</t>
        </is>
      </c>
      <c r="G457" s="13" t="inlineStr"/>
    </row>
    <row r="458">
      <c r="A458" s="13" t="n">
        <v>39</v>
      </c>
      <c r="B458" s="24" t="n">
        <v>46331</v>
      </c>
      <c r="C458" s="13" t="inlineStr">
        <is>
          <t>HLD</t>
        </is>
      </c>
      <c r="D458" s="18" t="inlineStr">
        <is>
          <t>Basic</t>
        </is>
      </c>
      <c r="E458" s="13" t="inlineStr">
        <is>
          <t>What is a heartbeat in distributed systems?</t>
        </is>
      </c>
      <c r="F458" s="13" t="inlineStr">
        <is>
          <t>A heartbeat is a small periodic message a node sends (or answers) to show it is alive. If a monitor or peer misses several heartbeats in a row, beyond a timeout, it marks the node as suspected dead and triggers failover. The interval and timeout trade detection speed against false positives from brief network hiccups or GC pauses.</t>
        </is>
      </c>
      <c r="G458" s="13" t="inlineStr"/>
    </row>
    <row r="459">
      <c r="A459" s="13" t="n">
        <v>39</v>
      </c>
      <c r="B459" s="24" t="n">
        <v>46331</v>
      </c>
      <c r="C459" s="13" t="inlineStr">
        <is>
          <t>HLD</t>
        </is>
      </c>
      <c r="D459" s="18" t="inlineStr">
        <is>
          <t>Basic</t>
        </is>
      </c>
      <c r="E459" s="13" t="inlineStr">
        <is>
          <t>Why do some systems need a leader?</t>
        </is>
      </c>
      <c r="F459" s="13" t="inlineStr">
        <is>
          <t>A leader provides a single point of coordination so decisions are made once and in one order: for example, one database primary accepts writes, one scheduler node dispatches jobs, or one Kafka controller assigns partitions. This avoids conflicting decisions from multiple nodes. The cost is that the leader must be re-elected quickly when it fails.</t>
        </is>
      </c>
      <c r="G459" s="13" t="inlineStr"/>
    </row>
    <row r="460">
      <c r="A460" s="13" t="n">
        <v>39</v>
      </c>
      <c r="B460" s="24" t="n">
        <v>46331</v>
      </c>
      <c r="C460" s="13" t="inlineStr">
        <is>
          <t>HLD</t>
        </is>
      </c>
      <c r="D460" s="16" t="inlineStr">
        <is>
          <t>Intermediate</t>
        </is>
      </c>
      <c r="E460" s="13" t="inlineStr">
        <is>
          <t>What is split brain and how do quorums prevent it?</t>
        </is>
      </c>
      <c r="F460" s="13" t="inlineStr">
        <is>
          <t>Split brain happens when a network partition makes two groups of nodes each believe they are in charge, so both accept writes and data diverges. A quorum requires a strict majority (more than N/2) of nodes to agree before electing a leader or committing a write. Only one side of a partition can have a majority, so at most one leader can act. This is why clusters use odd sizes like 3 or 5.</t>
        </is>
      </c>
      <c r="G460" s="13" t="inlineStr"/>
    </row>
    <row r="461">
      <c r="A461" s="13" t="n">
        <v>39</v>
      </c>
      <c r="B461" s="24" t="n">
        <v>46331</v>
      </c>
      <c r="C461" s="13" t="inlineStr">
        <is>
          <t>HLD</t>
        </is>
      </c>
      <c r="D461" s="16" t="inlineStr">
        <is>
          <t>Intermediate</t>
        </is>
      </c>
      <c r="E461" s="13" t="inlineStr">
        <is>
          <t>How does Raft leader election work at a high level?</t>
        </is>
      </c>
      <c r="F461" s="13" t="inlineStr">
        <is>
          <t>Every node starts as a follower with a randomized election timeout. If a follower hears no heartbeat from a leader before its timeout, it becomes a candidate, increments the term number, votes for itself and asks others for votes. A node grants at most one vote per term, and only to candidates whose log is at least as up to date. A candidate with a majority becomes leader and starts sending heartbeats; randomized timeouts make split votes rare.</t>
        </is>
      </c>
      <c r="G461" s="13" t="inlineStr"/>
    </row>
    <row r="462">
      <c r="A462" s="13" t="n">
        <v>39</v>
      </c>
      <c r="B462" s="24" t="n">
        <v>46331</v>
      </c>
      <c r="C462" s="13" t="inlineStr">
        <is>
          <t>HLD</t>
        </is>
      </c>
      <c r="D462" s="17" t="inlineStr">
        <is>
          <t>Advanced</t>
        </is>
      </c>
      <c r="E462" s="13" t="inlineStr">
        <is>
          <t>What are fencing tokens and why are they needed even with leader election?</t>
        </is>
      </c>
      <c r="F462" s="13" t="inlineStr">
        <is>
          <t>An old leader can be paused (long GC, network stall) and wake up still believing it is the leader after a new one was elected. A fencing token is a monotonically increasing number, like the Raft term or lock version, given to each new leader. Storage and downstream services reject requests carrying a token lower than the highest they have seen, so the stale leader's writes are blocked.</t>
        </is>
      </c>
      <c r="G462" s="13" t="inlineStr"/>
    </row>
    <row r="463">
      <c r="A463" s="13" t="n">
        <v>39</v>
      </c>
      <c r="B463" s="24" t="n">
        <v>46331</v>
      </c>
      <c r="C463" s="13" t="inlineStr">
        <is>
          <t>HLD</t>
        </is>
      </c>
      <c r="D463" s="17" t="inlineStr">
        <is>
          <t>Advanced</t>
        </is>
      </c>
      <c r="E463" s="13" t="inlineStr">
        <is>
          <t>How do you choose heartbeat intervals and failure detection timeouts, and what are smarter detectors?</t>
        </is>
      </c>
      <c r="F463" s="13" t="inlineStr">
        <is>
          <t>Too short a timeout causes false failovers during GC pauses or network jitter, which can cause flapping; too long delays recovery. A common rule is timeout of several heartbeat intervals, for example 1-second heartbeats and a 5-10 second timeout. Smarter options include the phi accrual failure detector (used by Cassandra and Akka), which outputs a suspicion level based on observed heartbeat arrival history, and gossip protocols that spread membership and liveness information without a central monitor.</t>
        </is>
      </c>
      <c r="G463" s="13" t="inlineStr"/>
    </row>
    <row r="464">
      <c r="A464" s="13" t="n">
        <v>39</v>
      </c>
      <c r="B464" s="24" t="n">
        <v>46331</v>
      </c>
      <c r="C464" s="13" t="inlineStr">
        <is>
          <t>LLD</t>
        </is>
      </c>
      <c r="D464" s="18" t="inlineStr">
        <is>
          <t>Basic</t>
        </is>
      </c>
      <c r="E464" s="13" t="inlineStr">
        <is>
          <t>What is the State pattern?</t>
        </is>
      </c>
      <c r="F464" s="13" t="inlineStr">
        <is>
          <t>The State pattern lets an object change its behaviour when its internal state changes, by delegating behaviour to a state object. Each state is its own class implementing a common interface, and the context swaps the current state object on transitions. It replaces large switch or if-else blocks on a status field.</t>
        </is>
      </c>
      <c r="G464" s="13" t="inlineStr"/>
    </row>
    <row r="465">
      <c r="A465" s="13" t="n">
        <v>39</v>
      </c>
      <c r="B465" s="24" t="n">
        <v>46331</v>
      </c>
      <c r="C465" s="13" t="inlineStr">
        <is>
          <t>LLD</t>
        </is>
      </c>
      <c r="D465" s="18" t="inlineStr">
        <is>
          <t>Basic</t>
        </is>
      </c>
      <c r="E465" s="13" t="inlineStr">
        <is>
          <t>What states would an elevator have?</t>
        </is>
      </c>
      <c r="F465" s="13" t="inlineStr">
        <is>
          <t>Typical states are Idle, MovingUp, MovingDown, DoorsOpen and Maintenance (or OutOfService). Each state reacts differently to the same events: a floor request in Idle starts movement, in DoorsOpen it is queued, and in Maintenance it is rejected. Drawing a state transition diagram first is the best way to start this question in an interview.</t>
        </is>
      </c>
      <c r="G465" s="13" t="inlineStr"/>
    </row>
    <row r="466">
      <c r="A466" s="13" t="n">
        <v>39</v>
      </c>
      <c r="B466" s="24" t="n">
        <v>46331</v>
      </c>
      <c r="C466" s="13" t="inlineStr">
        <is>
          <t>LLD</t>
        </is>
      </c>
      <c r="D466" s="16" t="inlineStr">
        <is>
          <t>Intermediate</t>
        </is>
      </c>
      <c r="E466" s="13" t="inlineStr">
        <is>
          <t>Implement a minimal elevator state interface and one state.</t>
        </is>
      </c>
      <c r="F466" s="13" t="inlineStr">
        <is>
          <t>```csharp
public interface IElevatorState {
    void OnRequest(ElevatorCar car, int floor);
    void OnArrived(ElevatorCar car);
}
public class IdleState : IElevatorState {
    public void OnRequest(ElevatorCar car, int floor) {
        car.AddStop(floor);
        car.SetState(floor &gt; car.CurrentFloor ? new MovingUpState() : new MovingDownState());
    }
    public void OnArrived(ElevatorCar car) { }
}
```
The car forwards events to _state, and each state decides the transition.</t>
        </is>
      </c>
      <c r="G466" s="13" t="inlineStr"/>
    </row>
    <row r="467">
      <c r="A467" s="13" t="n">
        <v>39</v>
      </c>
      <c r="B467" s="24" t="n">
        <v>46331</v>
      </c>
      <c r="C467" s="13" t="inlineStr">
        <is>
          <t>LLD</t>
        </is>
      </c>
      <c r="D467" s="16" t="inlineStr">
        <is>
          <t>Intermediate</t>
        </is>
      </c>
      <c r="E467" s="13" t="inlineStr">
        <is>
          <t>Who should decide transitions: the context or the state classes?</t>
        </is>
      </c>
      <c r="F467" s="13" t="inlineStr">
        <is>
          <t>Both are valid. If state classes decide (calling context.SetState), each state knows its successors, which keeps transition logic close to behaviour but couples states to each other. If the context or a transition table decides, states stay independent and the whole state machine is visible in one place, which is easier to audit. For interviews, state-driven transitions are standard; mention the table-driven option for complex machines.</t>
        </is>
      </c>
      <c r="G467" s="13" t="inlineStr"/>
    </row>
    <row r="468">
      <c r="A468" s="13" t="n">
        <v>39</v>
      </c>
      <c r="B468" s="24" t="n">
        <v>46331</v>
      </c>
      <c r="C468" s="13" t="inlineStr">
        <is>
          <t>LLD</t>
        </is>
      </c>
      <c r="D468" s="17" t="inlineStr">
        <is>
          <t>Advanced</t>
        </is>
      </c>
      <c r="E468" s="13" t="inlineStr">
        <is>
          <t>State pattern vs Strategy pattern - what is the difference?</t>
        </is>
      </c>
      <c r="F468" s="13" t="inlineStr">
        <is>
          <t>They have the same structure (a context delegating to an interface), but different intent. In Strategy the client picks an algorithm and it usually does not change on its own, like a pricing strategy. In State the object moves between states itself in response to events, and states usually know about transitions. An elevator's dispatch algorithm is Strategy; its Idle/Moving/DoorsOpen behaviour is State.</t>
        </is>
      </c>
      <c r="G468" s="13" t="inlineStr"/>
    </row>
    <row r="469">
      <c r="A469" s="13" t="n">
        <v>39</v>
      </c>
      <c r="B469" s="24" t="n">
        <v>46331</v>
      </c>
      <c r="C469" s="13" t="inlineStr">
        <is>
          <t>LLD</t>
        </is>
      </c>
      <c r="D469" s="17" t="inlineStr">
        <is>
          <t>Advanced</t>
        </is>
      </c>
      <c r="E469" s="13" t="inlineStr">
        <is>
          <t>How would you make elevator states safe with timers and concurrent events?</t>
        </is>
      </c>
      <c r="F469" s="13" t="inlineStr">
        <is>
          <t>Process all events for one car on a single thread or queue (Channel&lt;T&gt;), so state transitions never race. Timed behaviour like 'close doors after 5 seconds' is also posted as an event (DoorTimeout) into the same queue, rather than a timer callback mutating state directly. States can be stateless singletons to avoid allocations, with per-car data kept in the context. Injecting TimeProvider makes the timing deterministic in tests.</t>
        </is>
      </c>
      <c r="G469" s="13" t="inlineStr"/>
    </row>
    <row r="470">
      <c r="A470" s="13" t="n">
        <v>40</v>
      </c>
      <c r="B470" s="24" t="n">
        <v>46332</v>
      </c>
      <c r="C470" s="13" t="inlineStr">
        <is>
          <t>HLD</t>
        </is>
      </c>
      <c r="D470" s="18" t="inlineStr">
        <is>
          <t>Basic</t>
        </is>
      </c>
      <c r="E470" s="13" t="inlineStr">
        <is>
          <t>What is a Bloom filter?</t>
        </is>
      </c>
      <c r="F470" s="13" t="inlineStr">
        <is>
          <t>A Bloom filter is a space-efficient probabilistic data structure that tests set membership. It answers 'definitely not in the set' or 'possibly in the set': there are no false negatives, but there can be false positives. It uses a bit array and k hash functions and needs only a few bits per element regardless of item size.</t>
        </is>
      </c>
      <c r="G470" s="13" t="inlineStr"/>
    </row>
    <row r="471">
      <c r="A471" s="13" t="n">
        <v>40</v>
      </c>
      <c r="B471" s="24" t="n">
        <v>46332</v>
      </c>
      <c r="C471" s="13" t="inlineStr">
        <is>
          <t>HLD</t>
        </is>
      </c>
      <c r="D471" s="18" t="inlineStr">
        <is>
          <t>Basic</t>
        </is>
      </c>
      <c r="E471" s="13" t="inlineStr">
        <is>
          <t>How do insert and lookup work in a Bloom filter?</t>
        </is>
      </c>
      <c r="F471" s="13" t="inlineStr">
        <is>
          <t>To insert, hash the item with k hash functions and set those k bit positions to 1. To look up, hash it the same way: if any of the k bits is 0, the item was definitely never added; if all are 1, it is probably present, because other items may have set those bits. Both operations are O(k), independent of how many items are stored.</t>
        </is>
      </c>
      <c r="G471" s="13" t="inlineStr"/>
    </row>
    <row r="472">
      <c r="A472" s="13" t="n">
        <v>40</v>
      </c>
      <c r="B472" s="24" t="n">
        <v>46332</v>
      </c>
      <c r="C472" s="13" t="inlineStr">
        <is>
          <t>HLD</t>
        </is>
      </c>
      <c r="D472" s="16" t="inlineStr">
        <is>
          <t>Intermediate</t>
        </is>
      </c>
      <c r="E472" s="13" t="inlineStr">
        <is>
          <t>How do the number of bits and hash functions affect the false-positive rate?</t>
        </is>
      </c>
      <c r="F472" s="13" t="inlineStr">
        <is>
          <t>More bits per element (m/n) lowers the false-positive rate because the array fills up more slowly. The best number of hash functions is k = (m/n) * ln 2; too few hashes give weak discrimination, and too many fill the array quickly. Roughly 10 bits per element with 7 hash functions gives about a 1% false-positive rate, and each extra ~5 bits per element cuts it about tenfold.</t>
        </is>
      </c>
      <c r="G472" s="13" t="inlineStr"/>
    </row>
    <row r="473">
      <c r="A473" s="13" t="n">
        <v>40</v>
      </c>
      <c r="B473" s="24" t="n">
        <v>46332</v>
      </c>
      <c r="C473" s="13" t="inlineStr">
        <is>
          <t>HLD</t>
        </is>
      </c>
      <c r="D473" s="16" t="inlineStr">
        <is>
          <t>Intermediate</t>
        </is>
      </c>
      <c r="E473" s="13" t="inlineStr">
        <is>
          <t>Where are Bloom filters used in real systems?</t>
        </is>
      </c>
      <c r="F473" s="13" t="inlineStr">
        <is>
          <t>- Databases like Cassandra, HBase and RocksDB check a Bloom filter per SSTable to skip disk reads for keys that are not there.
- Caches and CDNs avoid caching one-hit wonders or avoid querying the DB for keys that do not exist (cache penetration protection).
- Username or coupon availability pre-checks.
- Web crawlers skip URLs already visited, and browsers have used them for malicious URL lists.</t>
        </is>
      </c>
      <c r="G473" s="13" t="inlineStr"/>
    </row>
    <row r="474">
      <c r="A474" s="13" t="n">
        <v>40</v>
      </c>
      <c r="B474" s="24" t="n">
        <v>46332</v>
      </c>
      <c r="C474" s="13" t="inlineStr">
        <is>
          <t>HLD</t>
        </is>
      </c>
      <c r="D474" s="17" t="inlineStr">
        <is>
          <t>Advanced</t>
        </is>
      </c>
      <c r="E474" s="13" t="inlineStr">
        <is>
          <t>Why can't you delete from a standard Bloom filter, and what are the alternatives?</t>
        </is>
      </c>
      <c r="F474" s="13" t="inlineStr">
        <is>
          <t>A bit may be shared by several items, so clearing it on delete could create false negatives for other items. A counting Bloom filter replaces each bit with a small counter that is incremented on insert and decremented on delete, at several times the memory. Cuckoo filters support deletion with similar or better space efficiency. Otherwise you periodically rebuild the filter from the source of truth.</t>
        </is>
      </c>
      <c r="G474" s="13" t="inlineStr"/>
    </row>
    <row r="475">
      <c r="A475" s="13" t="n">
        <v>40</v>
      </c>
      <c r="B475" s="24" t="n">
        <v>46332</v>
      </c>
      <c r="C475" s="13" t="inlineStr">
        <is>
          <t>HLD</t>
        </is>
      </c>
      <c r="D475" s="17" t="inlineStr">
        <is>
          <t>Advanced</t>
        </is>
      </c>
      <c r="E475" s="13" t="inlineStr">
        <is>
          <t>How would you use a Bloom filter to check username availability for 1 billion users?</t>
        </is>
      </c>
      <c r="F475" s="13" t="inlineStr">
        <is>
          <t>Keep a Bloom filter of all taken usernames in memory (about 1.2 GB at 1% false positives, or shard it across nodes, or use Redis Bloom). If the filter says 'not present', the name is definitely free, so reply instantly without touching the DB. If it says 'maybe', confirm with an indexed DB lookup. The final signup still relies on a unique constraint in the DB, and new names are added to the filter on creation; the filter is rebuilt periodically to drop deleted names and control fill rate.</t>
        </is>
      </c>
      <c r="G475" s="13" t="inlineStr"/>
    </row>
    <row r="476">
      <c r="A476" s="13" t="n">
        <v>40</v>
      </c>
      <c r="B476" s="24" t="n">
        <v>46332</v>
      </c>
      <c r="C476" s="13" t="inlineStr">
        <is>
          <t>LLD</t>
        </is>
      </c>
      <c r="D476" s="18" t="inlineStr">
        <is>
          <t>Basic</t>
        </is>
      </c>
      <c r="E476" s="13" t="inlineStr">
        <is>
          <t>What states does a vending machine have?</t>
        </is>
      </c>
      <c r="F476" s="13" t="inlineStr">
        <is>
          <t>Common states are Idle (waiting for money or selection), HasMoney (coin inserted, waiting for selection), Dispensing (delivering the product and change), and OutOfStock or Maintenance. Each state handles events like InsertCoin, SelectProduct, Cancel and Dispense differently. Start the interview answer with this list and the transitions between them.</t>
        </is>
      </c>
      <c r="G476" s="13" t="inlineStr"/>
    </row>
    <row r="477">
      <c r="A477" s="13" t="n">
        <v>40</v>
      </c>
      <c r="B477" s="24" t="n">
        <v>46332</v>
      </c>
      <c r="C477" s="13" t="inlineStr">
        <is>
          <t>LLD</t>
        </is>
      </c>
      <c r="D477" s="18" t="inlineStr">
        <is>
          <t>Basic</t>
        </is>
      </c>
      <c r="E477" s="13" t="inlineStr">
        <is>
          <t>Why use the State pattern for a vending machine instead of a status enum and switch?</t>
        </is>
      </c>
      <c r="F477" s="13" t="inlineStr">
        <is>
          <t>With an enum, every method (InsertCoin, Select, Cancel) needs a switch over all statuses, so adding a new state means editing every method, which breaks Open/Closed and is easy to get wrong. With the State pattern each state class holds only its own behaviour and valid transitions, and invalid actions are handled explicitly per state. The machine class stays small and just delegates.</t>
        </is>
      </c>
      <c r="G477" s="13" t="inlineStr"/>
    </row>
    <row r="478">
      <c r="A478" s="13" t="n">
        <v>40</v>
      </c>
      <c r="B478" s="24" t="n">
        <v>46332</v>
      </c>
      <c r="C478" s="13" t="inlineStr">
        <is>
          <t>LLD</t>
        </is>
      </c>
      <c r="D478" s="16" t="inlineStr">
        <is>
          <t>Intermediate</t>
        </is>
      </c>
      <c r="E478" s="13" t="inlineStr">
        <is>
          <t>Define the vending machine state interface.</t>
        </is>
      </c>
      <c r="F478" s="13" t="inlineStr">
        <is>
          <t>```csharp
public interface IVendingState {
    void InsertMoney(VendingMachine m, decimal amount);
    void SelectProduct(VendingMachine m, string code);
    void Cancel(VendingMachine m);
}
```
The VendingMachine context holds the current state, balance and inventory, and forwards each public call to _state. States call m.SetState(...) to move on, for example IdleState.InsertMoney adds to the balance and moves to HasMoneyState.</t>
        </is>
      </c>
      <c r="G478" s="13" t="inlineStr"/>
    </row>
    <row r="479">
      <c r="A479" s="13" t="n">
        <v>40</v>
      </c>
      <c r="B479" s="24" t="n">
        <v>46332</v>
      </c>
      <c r="C479" s="13" t="inlineStr">
        <is>
          <t>LLD</t>
        </is>
      </c>
      <c r="D479" s="16" t="inlineStr">
        <is>
          <t>Intermediate</t>
        </is>
      </c>
      <c r="E479" s="13" t="inlineStr">
        <is>
          <t>How should the machine behave for invalid actions, like selecting a product with no money inserted?</t>
        </is>
      </c>
      <c r="F479" s="13" t="inlineStr">
        <is>
          <t>The current state handles it: IdleState.SelectProduct shows 'Insert money first' or throws a domain exception, without changing state. Each state class must implement every interface method, which forces you to think about every event in every state. An abstract base state with default 'invalid operation' implementations can reduce boilerplate so each state overrides only the events it supports.</t>
        </is>
      </c>
      <c r="G479" s="13" t="inlineStr"/>
    </row>
    <row r="480">
      <c r="A480" s="13" t="n">
        <v>40</v>
      </c>
      <c r="B480" s="24" t="n">
        <v>46332</v>
      </c>
      <c r="C480" s="13" t="inlineStr">
        <is>
          <t>LLD</t>
        </is>
      </c>
      <c r="D480" s="17" t="inlineStr">
        <is>
          <t>Advanced</t>
        </is>
      </c>
      <c r="E480" s="13" t="inlineStr">
        <is>
          <t>How would you handle change-making and insufficient change?</t>
        </is>
      </c>
      <c r="F480" s="13" t="inlineStr">
        <is>
          <t>Keep a coin or note inventory, for example Dictionary&lt;int, int&gt; from denomination to count, and compute change greedily from the largest denomination while checking availability. If exact change is not possible, refuse the sale before dispensing, refund the inserted amount and return to Idle. Greedy works for standard denominations; for arbitrary ones a small DP is needed. Put this logic in a separate ChangeCalculator class to keep states thin.</t>
        </is>
      </c>
      <c r="G480" s="13" t="inlineStr"/>
    </row>
    <row r="481">
      <c r="A481" s="13" t="n">
        <v>40</v>
      </c>
      <c r="B481" s="24" t="n">
        <v>46332</v>
      </c>
      <c r="C481" s="13" t="inlineStr">
        <is>
          <t>LLD</t>
        </is>
      </c>
      <c r="D481" s="17" t="inlineStr">
        <is>
          <t>Advanced</t>
        </is>
      </c>
      <c r="E481" s="13" t="inlineStr">
        <is>
          <t>Where do Singleton or Flyweight fit with state objects?</t>
        </is>
      </c>
      <c r="F481" s="13" t="inlineStr">
        <is>
          <t>States usually carry no per-machine data because the balance and inventory live in the context, so each state can be a single shared instance (for example static readonly fields or DI singletons). This avoids allocating new state objects on every transition and is effectively Flyweight. If a state needs its own data, like a timer start time, keep that data in the context or make that state a per-transition instance instead.</t>
        </is>
      </c>
      <c r="G481" s="13" t="inlineStr"/>
    </row>
    <row r="482">
      <c r="A482" s="13" t="n">
        <v>41</v>
      </c>
      <c r="B482" s="24" t="n">
        <v>46333</v>
      </c>
      <c r="C482" s="13" t="inlineStr">
        <is>
          <t>HLD</t>
        </is>
      </c>
      <c r="D482" s="18" t="inlineStr">
        <is>
          <t>Basic</t>
        </is>
      </c>
      <c r="E482" s="13" t="inlineStr">
        <is>
          <t>What are the main components of a parking system HLD?</t>
        </is>
      </c>
      <c r="F482" s="13" t="inlineStr">
        <is>
          <t>- Entry/exit gate devices (ticket printer, ANPR camera, barrier) talking to a backend API.
- Parking service for spot allocation and tickets.
- Payment service integrating UPI/cards and generating receipts.
- Availability service feeding display boards and the mobile app.
- Database for lots, spots, tickets and payments, plus a cache for live availability.
For multiple lots, a central cloud backend with a local edge server per lot.</t>
        </is>
      </c>
      <c r="G482" s="13" t="inlineStr"/>
    </row>
    <row r="483">
      <c r="A483" s="13" t="n">
        <v>41</v>
      </c>
      <c r="B483" s="24" t="n">
        <v>46333</v>
      </c>
      <c r="C483" s="13" t="inlineStr">
        <is>
          <t>HLD</t>
        </is>
      </c>
      <c r="D483" s="18" t="inlineStr">
        <is>
          <t>Basic</t>
        </is>
      </c>
      <c r="E483" s="13" t="inlineStr">
        <is>
          <t>What is the end-to-end flow when a car enters and exits?</t>
        </is>
      </c>
      <c r="F483" s="13" t="inlineStr">
        <is>
          <t>On entry, the gate reads the plate or the driver presses a button, the backend allocates a compatible free spot, creates a ticket with entry time and opens the barrier. On exit, the gate scans the ticket or plate, the backend computes the fee, the driver pays, the ticket is closed, the spot is freed and the barrier opens. Each step updates the live availability counts.</t>
        </is>
      </c>
      <c r="G483" s="13" t="inlineStr"/>
    </row>
    <row r="484">
      <c r="A484" s="13" t="n">
        <v>41</v>
      </c>
      <c r="B484" s="24" t="n">
        <v>46333</v>
      </c>
      <c r="C484" s="13" t="inlineStr">
        <is>
          <t>HLD</t>
        </is>
      </c>
      <c r="D484" s="16" t="inlineStr">
        <is>
          <t>Intermediate</t>
        </is>
      </c>
      <c r="E484" s="13" t="inlineStr">
        <is>
          <t>How do you show real-time availability per floor?</t>
        </is>
      </c>
      <c r="F484" s="13" t="inlineStr">
        <is>
          <t>Maintain counters per lot, floor and spot type in Redis, updated atomically (INCR/DECR) on every park and unpark event, with the DB as the source of truth. Display boards and apps read from the cache or subscribe via WebSocket or server-sent events for push updates. Periodically reconcile counters with the DB or spot sensors to fix drift from missed events.</t>
        </is>
      </c>
      <c r="G484" s="13" t="inlineStr"/>
    </row>
    <row r="485">
      <c r="A485" s="13" t="n">
        <v>41</v>
      </c>
      <c r="B485" s="24" t="n">
        <v>46333</v>
      </c>
      <c r="C485" s="13" t="inlineStr">
        <is>
          <t>HLD</t>
        </is>
      </c>
      <c r="D485" s="16" t="inlineStr">
        <is>
          <t>Intermediate</t>
        </is>
      </c>
      <c r="E485" s="13" t="inlineStr">
        <is>
          <t>How do you prevent double allocation of a spot across multiple gates?</t>
        </is>
      </c>
      <c r="F485" s="13" t="inlineStr">
        <is>
          <t>Make the allocation atomic in the source of truth: a conditional update (set occupied where id = X and is_free = true) or SELECT ... FOR UPDATE SKIP LOCKED to grab one free spot per request. Alternatively, keep free-spot pools per floor in Redis and pop from them atomically with SPOP or LPOP. Many real lots allocate by floor or zone rather than an exact spot, which reduces contention.</t>
        </is>
      </c>
      <c r="G485" s="13" t="inlineStr"/>
    </row>
    <row r="486">
      <c r="A486" s="13" t="n">
        <v>41</v>
      </c>
      <c r="B486" s="24" t="n">
        <v>46333</v>
      </c>
      <c r="C486" s="13" t="inlineStr">
        <is>
          <t>HLD</t>
        </is>
      </c>
      <c r="D486" s="17" t="inlineStr">
        <is>
          <t>Advanced</t>
        </is>
      </c>
      <c r="E486" s="13" t="inlineStr">
        <is>
          <t>How does the system keep working if the lot loses internet connectivity?</t>
        </is>
      </c>
      <c r="F486" s="13" t="inlineStr">
        <is>
          <t>Run an edge server in each lot with a local database that handles entry, exit, allocation and cash or offline payments independently. Events are stored locally and synced to the cloud when connectivity returns, using idempotent event IDs to avoid duplicates. Gates must fail safe, for example allowing exit with deferred payment rather than trapping cars. This local-first design is a strong point to raise in interviews.</t>
        </is>
      </c>
      <c r="G486" s="13" t="inlineStr"/>
    </row>
    <row r="487">
      <c r="A487" s="13" t="n">
        <v>41</v>
      </c>
      <c r="B487" s="24" t="n">
        <v>46333</v>
      </c>
      <c r="C487" s="13" t="inlineStr">
        <is>
          <t>HLD</t>
        </is>
      </c>
      <c r="D487" s="17" t="inlineStr">
        <is>
          <t>Advanced</t>
        </is>
      </c>
      <c r="E487" s="13" t="inlineStr">
        <is>
          <t>How would you scale this to a city-wide parking platform with pre-booking?</t>
        </is>
      </c>
      <c r="F487" s="13" t="inlineStr">
        <is>
          <t>Partition data by lot ID, since most operations are local to one lot. Pre-booking reserves capacity (a count per time slot and spot type) rather than an exact spot, with a hold that expires if the user does not arrive within a grace period. Payments go through an idempotent payment service with a pending state and webhooks. Availability search across lots uses a geo index (geohash or PostGIS) plus cached counts, and analytics like occupancy and revenue flow through a queue into a data warehouse.</t>
        </is>
      </c>
      <c r="G487" s="13" t="inlineStr"/>
    </row>
    <row r="488">
      <c r="A488" s="13" t="n">
        <v>41</v>
      </c>
      <c r="B488" s="24" t="n">
        <v>46333</v>
      </c>
      <c r="C488" s="13" t="inlineStr">
        <is>
          <t>LLD</t>
        </is>
      </c>
      <c r="D488" s="18" t="inlineStr">
        <is>
          <t>Basic</t>
        </is>
      </c>
      <c r="E488" s="13" t="inlineStr">
        <is>
          <t>What classes make up a full vending machine implementation?</t>
        </is>
      </c>
      <c r="F488" s="13" t="inlineStr">
        <is>
          <t>- VendingMachine (context): current state, balance, inventory, coin box.
- IVendingState with IdleState, HasMoneyState, DispensingState, OutOfServiceState.
- Product (code, name, price) and Inventory (code to product and quantity).
- CoinBox or ChangeCalculator for change.
- Optional IPaymentProcessor for card or UPI.
The public API is InsertMoney, SelectProduct, Cancel, plus admin methods Restock and CollectCash.</t>
        </is>
      </c>
      <c r="G488" s="13" t="inlineStr"/>
    </row>
    <row r="489">
      <c r="A489" s="13" t="n">
        <v>41</v>
      </c>
      <c r="B489" s="24" t="n">
        <v>46333</v>
      </c>
      <c r="C489" s="13" t="inlineStr">
        <is>
          <t>LLD</t>
        </is>
      </c>
      <c r="D489" s="18" t="inlineStr">
        <is>
          <t>Basic</t>
        </is>
      </c>
      <c r="E489" s="13" t="inlineStr">
        <is>
          <t>How would you design the Inventory class?</t>
        </is>
      </c>
      <c r="F489" s="13" t="inlineStr">
        <is>
          <t>Keep a Dictionary&lt;string, Slot&gt; where Slot holds the product and its quantity, and expose IsAvailable(code), GetPrice(code), Deduct(code) and Restock(code, qty). Deduct should validate quantity and throw if the slot is empty so callers cannot drive stock negative. Keep the dictionary private and return read-only views to protect invariants.</t>
        </is>
      </c>
      <c r="G489" s="13" t="inlineStr"/>
    </row>
    <row r="490">
      <c r="A490" s="13" t="n">
        <v>41</v>
      </c>
      <c r="B490" s="24" t="n">
        <v>46333</v>
      </c>
      <c r="C490" s="13" t="inlineStr">
        <is>
          <t>LLD</t>
        </is>
      </c>
      <c r="D490" s="16" t="inlineStr">
        <is>
          <t>Intermediate</t>
        </is>
      </c>
      <c r="E490" s="13" t="inlineStr">
        <is>
          <t>Implement HasMoneyState.SelectProduct.</t>
        </is>
      </c>
      <c r="F490" s="13" t="inlineStr">
        <is>
          <t>```csharp
public void SelectProduct(VendingMachine m, string code) {
    if (!m.Inventory.IsAvailable(code)) { m.Display("Sold out"); return; }
    var price = m.Inventory.GetPrice(code);
    if (m.Balance &lt; price) { m.Display($"Insert {price - m.Balance} more"); return; }
    if (!m.CoinBox.CanMakeChange(m.Balance - price)) { m.Refund(); m.SetState(m.Idle); return; }
    m.Inventory.Deduct(code);
    m.ReturnChange(m.Balance - price);
    m.SetState(m.Idle);
}
```
Validation happens before any state change, so a failure never leaves the machine half-updated.</t>
        </is>
      </c>
      <c r="G490" s="13" t="inlineStr"/>
    </row>
    <row r="491">
      <c r="A491" s="13" t="n">
        <v>41</v>
      </c>
      <c r="B491" s="24" t="n">
        <v>46333</v>
      </c>
      <c r="C491" s="13" t="inlineStr">
        <is>
          <t>LLD</t>
        </is>
      </c>
      <c r="D491" s="16" t="inlineStr">
        <is>
          <t>Intermediate</t>
        </is>
      </c>
      <c r="E491" s="13" t="inlineStr">
        <is>
          <t>How would you add card or UPI payments without rewriting the machine?</t>
        </is>
      </c>
      <c r="F491" s="13" t="inlineStr">
        <is>
          <t>Introduce an IPaymentMethod abstraction (CashPayment, CardPayment, UpiPayment) using the Strategy pattern, where each can Authorize(amount) and Refund(). The states work with an amount and a payment result instead of coins directly. External payment SDKs are wrapped with the Adapter pattern. The machine gains a new state like AwaitingPaymentConfirmation for asynchronous UPI callbacks.</t>
        </is>
      </c>
      <c r="G491" s="13" t="inlineStr"/>
    </row>
    <row r="492">
      <c r="A492" s="13" t="n">
        <v>41</v>
      </c>
      <c r="B492" s="24" t="n">
        <v>46333</v>
      </c>
      <c r="C492" s="13" t="inlineStr">
        <is>
          <t>LLD</t>
        </is>
      </c>
      <c r="D492" s="17" t="inlineStr">
        <is>
          <t>Advanced</t>
        </is>
      </c>
      <c r="E492" s="13" t="inlineStr">
        <is>
          <t>How would you unit test the vending machine?</t>
        </is>
      </c>
      <c r="F492" s="13" t="inlineStr">
        <is>
          <t>Inject dependencies (inventory, coin box, payment method, display) through constructors so tests can use fakes. Test each transition: insert money moves Idle to HasMoney, selecting with enough money dispenses and returns correct change, cancel refunds the full balance, and a sold-out item keeps the state. Parameterized tests with xUnit [Theory] cover price and denomination combinations, and assert on the state type plus side effects.</t>
        </is>
      </c>
      <c r="G492" s="13" t="inlineStr"/>
    </row>
    <row r="493">
      <c r="A493" s="13" t="n">
        <v>41</v>
      </c>
      <c r="B493" s="24" t="n">
        <v>46333</v>
      </c>
      <c r="C493" s="13" t="inlineStr">
        <is>
          <t>LLD</t>
        </is>
      </c>
      <c r="D493" s="17" t="inlineStr">
        <is>
          <t>Advanced</t>
        </is>
      </c>
      <c r="E493" s="13" t="inlineStr">
        <is>
          <t>How do you make the vending machine thread-safe if it receives events from hardware and a remote admin API?</t>
        </is>
      </c>
      <c r="F493" s="13" t="inlineStr">
        <is>
          <t>Serialize all operations on the machine: either a single lock around each public method, since the operations are short, or a single consumer loop reading commands from a Channel&lt;T&gt;. Never let two events interleave between reading the balance and dispensing. Admin operations like restock go through the same path, and hardware callbacks just enqueue events. This keeps the state pattern simple because states assume single-threaded access.</t>
        </is>
      </c>
      <c r="G493" s="13" t="inlineStr"/>
    </row>
    <row r="494">
      <c r="A494" s="13" t="n">
        <v>42</v>
      </c>
      <c r="B494" s="24" t="n">
        <v>46334</v>
      </c>
      <c r="C494" s="13" t="inlineStr">
        <is>
          <t>HLD</t>
        </is>
      </c>
      <c r="D494" s="18" t="inlineStr">
        <is>
          <t>Basic</t>
        </is>
      </c>
      <c r="E494" s="13" t="inlineStr">
        <is>
          <t>Rapid fire: how does a distributed job scheduler make sure a job runs only once?</t>
        </is>
      </c>
      <c r="F494" s="13" t="inlineStr">
        <is>
          <t>Workers claim jobs atomically, using a conditional update on status, SELECT FOR UPDATE SKIP LOCKED, or a distributed lock with a TTL, or a single elected leader dispatches. Leases with expiry reclaim jobs from crashed workers. Because crashes can still cause a rerun, jobs are made idempotent, so the effective guarantee is at-least-once execution with exactly-once effect.</t>
        </is>
      </c>
      <c r="G494" s="13" t="inlineStr"/>
    </row>
    <row r="495">
      <c r="A495" s="13" t="n">
        <v>42</v>
      </c>
      <c r="B495" s="24" t="n">
        <v>46334</v>
      </c>
      <c r="C495" s="13" t="inlineStr">
        <is>
          <t>HLD</t>
        </is>
      </c>
      <c r="D495" s="18" t="inlineStr">
        <is>
          <t>Basic</t>
        </is>
      </c>
      <c r="E495" s="13" t="inlineStr">
        <is>
          <t>Explain consistent hashing out loud in under a minute.</t>
        </is>
      </c>
      <c r="F495" s="13" t="inlineStr">
        <is>
          <t>Servers and keys are hashed onto the same ring; each key goes to the first server clockwise from it. Adding or removing a server only moves the keys in its arc, about 1/N of them, unlike modulo hashing which reshuffles almost everything. Virtual nodes give each server many positions to balance load and spread a failed node's keys. It is used in DynamoDB, Cassandra, and distributed caches.</t>
        </is>
      </c>
      <c r="G495" s="13" t="inlineStr"/>
    </row>
    <row r="496">
      <c r="A496" s="13" t="n">
        <v>42</v>
      </c>
      <c r="B496" s="24" t="n">
        <v>46334</v>
      </c>
      <c r="C496" s="13" t="inlineStr">
        <is>
          <t>HLD</t>
        </is>
      </c>
      <c r="D496" s="16" t="inlineStr">
        <is>
          <t>Intermediate</t>
        </is>
      </c>
      <c r="E496" s="13" t="inlineStr">
        <is>
          <t>Rapid fire: when would you use a graph DB, and when is SQL enough?</t>
        </is>
      </c>
      <c r="F496" s="13" t="inlineStr">
        <is>
          <t>Use a graph DB for deep, variable-length traversals like friends-of-friends, shortest paths, recommendations or fraud rings. SQL is enough for one or two hops, like followers lists, with junction tables and indexes, and recursive CTEs for occasional hierarchies. Large social graphs often use sharded adjacency lists plus offline graph processing.</t>
        </is>
      </c>
      <c r="G496" s="13" t="inlineStr"/>
    </row>
    <row r="497">
      <c r="A497" s="13" t="n">
        <v>42</v>
      </c>
      <c r="B497" s="24" t="n">
        <v>46334</v>
      </c>
      <c r="C497" s="13" t="inlineStr">
        <is>
          <t>HLD</t>
        </is>
      </c>
      <c r="D497" s="16" t="inlineStr">
        <is>
          <t>Intermediate</t>
        </is>
      </c>
      <c r="E497" s="13" t="inlineStr">
        <is>
          <t>Rapid fire: how do heartbeats, leader election and quorums fit together?</t>
        </is>
      </c>
      <c r="F497" s="13" t="inlineStr">
        <is>
          <t>Heartbeats detect when the leader or a node stops responding. When followers time out, an election (Raft-style) chooses a new leader, which needs votes from a majority. Requiring a quorum means only one side of a partition can elect a leader, preventing split brain, and fencing tokens stop a stale leader from writing.</t>
        </is>
      </c>
      <c r="G497" s="13" t="inlineStr"/>
    </row>
    <row r="498">
      <c r="A498" s="13" t="n">
        <v>42</v>
      </c>
      <c r="B498" s="24" t="n">
        <v>46334</v>
      </c>
      <c r="C498" s="13" t="inlineStr">
        <is>
          <t>HLD</t>
        </is>
      </c>
      <c r="D498" s="17" t="inlineStr">
        <is>
          <t>Advanced</t>
        </is>
      </c>
      <c r="E498" s="13" t="inlineStr">
        <is>
          <t>Rapid fire: what does a Bloom filter guarantee, and where would you use it?</t>
        </is>
      </c>
      <c r="F498" s="13" t="inlineStr">
        <is>
          <t>It guarantees no false negatives, so 'not present' is certain, but it can give false positives. Accuracy depends on bits per element and the number of hash functions; about 10 bits per element gives roughly 1%. Uses include skipping disk reads in LSM-tree databases, blocking cache penetration for non-existent keys, and fast username availability checks.</t>
        </is>
      </c>
      <c r="G498" s="13" t="inlineStr"/>
    </row>
    <row r="499">
      <c r="A499" s="13" t="n">
        <v>42</v>
      </c>
      <c r="B499" s="24" t="n">
        <v>46334</v>
      </c>
      <c r="C499" s="13" t="inlineStr">
        <is>
          <t>HLD</t>
        </is>
      </c>
      <c r="D499" s="17" t="inlineStr">
        <is>
          <t>Advanced</t>
        </is>
      </c>
      <c r="E499" s="13" t="inlineStr">
        <is>
          <t>Rapid fire: design the parking system HLD in five points.</t>
        </is>
      </c>
      <c r="F499" s="13" t="inlineStr">
        <is>
          <t>- Gates with ANPR and ticketing call a parking service that allocates spots atomically.
- Live availability counters per floor in Redis, pushed to boards and apps.
- Pricing and payment service with idempotent payments.
- Edge server per lot for offline operation, syncing to the cloud.
- Data partitioned by lot ID, with a geo index for search and pre-booking by capacity per time slot.</t>
        </is>
      </c>
      <c r="G499" s="13" t="inlineStr"/>
    </row>
    <row r="500">
      <c r="A500" s="13" t="n">
        <v>42</v>
      </c>
      <c r="B500" s="24" t="n">
        <v>46334</v>
      </c>
      <c r="C500" s="13" t="inlineStr">
        <is>
          <t>LLD</t>
        </is>
      </c>
      <c r="D500" s="18" t="inlineStr">
        <is>
          <t>Basic</t>
        </is>
      </c>
      <c r="E500" s="13" t="inlineStr">
        <is>
          <t>Rapid fire: list the core Parking Lot entities.</t>
        </is>
      </c>
      <c r="F500" s="13" t="inlineStr">
        <is>
          <t>ParkingLot, ParkingFloor, ParkingSpot (with SpotType), Vehicle (with VehicleType), Ticket, EntryGate, ExitGate, Payment, plus a ParkingService that coordinates. Floors own spots, and tickets link a vehicle to a spot with an entry time.</t>
        </is>
      </c>
      <c r="G500" s="13" t="inlineStr"/>
    </row>
    <row r="501">
      <c r="A501" s="13" t="n">
        <v>42</v>
      </c>
      <c r="B501" s="24" t="n">
        <v>46334</v>
      </c>
      <c r="C501" s="13" t="inlineStr">
        <is>
          <t>LLD</t>
        </is>
      </c>
      <c r="D501" s="18" t="inlineStr">
        <is>
          <t>Basic</t>
        </is>
      </c>
      <c r="E501" s="13" t="inlineStr">
        <is>
          <t>Rapid fire: which patterns does the Parking Lot use?</t>
        </is>
      </c>
      <c r="F501" s="13" t="inlineStr">
        <is>
          <t>Strategy for pricing (IPricingStrategy) and for spot allocation (ISpotAllocationStrategy), Singleton or a DI singleton for the lot, Factory for creating vehicles or tickets, and optionally Observer for updating display boards when spots change. Mentioning Open/Closed as the reason for each is what interviewers look for.</t>
        </is>
      </c>
      <c r="G501" s="13" t="inlineStr"/>
    </row>
    <row r="502">
      <c r="A502" s="13" t="n">
        <v>42</v>
      </c>
      <c r="B502" s="24" t="n">
        <v>46334</v>
      </c>
      <c r="C502" s="13" t="inlineStr">
        <is>
          <t>LLD</t>
        </is>
      </c>
      <c r="D502" s="16" t="inlineStr">
        <is>
          <t>Intermediate</t>
        </is>
      </c>
      <c r="E502" s="13" t="inlineStr">
        <is>
          <t>Rapid fire: what does the State pattern solve?</t>
        </is>
      </c>
      <c r="F502" s="13" t="inlineStr">
        <is>
          <t>It removes large switch statements on a status field by moving each state's behaviour into its own class behind a common interface. The context delegates to the current state, and states trigger transitions. New states are added as new classes, and each state only handles the events that make sense for it.</t>
        </is>
      </c>
      <c r="G502" s="13" t="inlineStr"/>
    </row>
    <row r="503">
      <c r="A503" s="13" t="n">
        <v>42</v>
      </c>
      <c r="B503" s="24" t="n">
        <v>46334</v>
      </c>
      <c r="C503" s="13" t="inlineStr">
        <is>
          <t>LLD</t>
        </is>
      </c>
      <c r="D503" s="16" t="inlineStr">
        <is>
          <t>Intermediate</t>
        </is>
      </c>
      <c r="E503" s="13" t="inlineStr">
        <is>
          <t>Compare the elevator and vending machine state machines.</t>
        </is>
      </c>
      <c r="F503" s="13" t="inlineStr">
        <is>
          <t>The elevator has Idle, MovingUp, MovingDown, DoorsOpen and Maintenance, driven by requests, arrivals and door timers, and it also needs a scheduling algorithm (SCAN/LOOK) plus a dispatcher Strategy. The vending machine has Idle, HasMoney, Dispensing and OutOfService, driven by money, selection and cancel. Both keep data (floor, balance, inventory) in the context and behaviour in the states.</t>
        </is>
      </c>
      <c r="G503" s="13" t="inlineStr"/>
    </row>
    <row r="504">
      <c r="A504" s="13" t="n">
        <v>42</v>
      </c>
      <c r="B504" s="24" t="n">
        <v>46334</v>
      </c>
      <c r="C504" s="13" t="inlineStr">
        <is>
          <t>LLD</t>
        </is>
      </c>
      <c r="D504" s="17" t="inlineStr">
        <is>
          <t>Advanced</t>
        </is>
      </c>
      <c r="E504" s="13" t="inlineStr">
        <is>
          <t>How do you avoid concurrency bugs in these LLD designs?</t>
        </is>
      </c>
      <c r="F504" s="13" t="inlineStr">
        <is>
          <t>Identify check-then-act races, such as two gates taking the same spot or two events changing an elevator's state, and make them atomic. Options are a lock per resource or spot type, lock-free structures like ConcurrentQueue for free spots, or serializing all events for one object through a single-consumer Channel&lt;T&gt;. For persistent data, use conditional updates or optimistic concurrency with a row version.</t>
        </is>
      </c>
      <c r="G504" s="13" t="inlineStr"/>
    </row>
    <row r="505">
      <c r="A505" s="13" t="n">
        <v>42</v>
      </c>
      <c r="B505" s="24" t="n">
        <v>46334</v>
      </c>
      <c r="C505" s="13" t="inlineStr">
        <is>
          <t>LLD</t>
        </is>
      </c>
      <c r="D505" s="17" t="inlineStr">
        <is>
          <t>Advanced</t>
        </is>
      </c>
      <c r="E505" s="13" t="inlineStr">
        <is>
          <t>Write the minimal skeleton of a State pattern context in C#.</t>
        </is>
      </c>
      <c r="F505" s="13" t="inlineStr">
        <is>
          <t>```csharp
public class VendingMachine {
    private IVendingState _state;
    public decimal Balance { get; internal set; }
    public VendingMachine() =&gt; _state = new IdleState();
    internal void SetState(IVendingState s) =&gt; _state = s;
    public void InsertMoney(decimal amt) =&gt; _state.InsertMoney(this, amt);
    public void SelectProduct(string code) =&gt; _state.SelectProduct(this, code);
    public void Cancel() =&gt; _state.Cancel(this);
}
```
The same shape applies to the elevator: public methods delegate, and states call SetState.</t>
        </is>
      </c>
      <c r="G505" s="13" t="inlineStr"/>
    </row>
    <row r="506">
      <c r="A506" s="13" t="n">
        <v>43</v>
      </c>
      <c r="B506" s="24" t="n">
        <v>46335</v>
      </c>
      <c r="C506" s="13" t="inlineStr">
        <is>
          <t>HLD</t>
        </is>
      </c>
      <c r="D506" s="18" t="inlineStr">
        <is>
          <t>Basic</t>
        </is>
      </c>
      <c r="E506" s="13" t="inlineStr">
        <is>
          <t>What are the requirements of a typeahead or autocomplete system?</t>
        </is>
      </c>
      <c r="F506" s="13" t="inlineStr">
        <is>
          <t>- Functional: given a prefix, return the top 5-10 suggestions ranked by popularity (and optionally personalization, freshness, location).
- Non-functional: very low latency (under about 100 ms end-to-end, since it fires on every keystroke), high availability, and huge read QPS.
- Suggestions can be slightly stale, so ranking can be updated offline rather than in real time.</t>
        </is>
      </c>
      <c r="G506" s="13" t="inlineStr"/>
    </row>
    <row r="507">
      <c r="A507" s="13" t="n">
        <v>43</v>
      </c>
      <c r="B507" s="24" t="n">
        <v>46335</v>
      </c>
      <c r="C507" s="13" t="inlineStr">
        <is>
          <t>HLD</t>
        </is>
      </c>
      <c r="D507" s="18" t="inlineStr">
        <is>
          <t>Basic</t>
        </is>
      </c>
      <c r="E507" s="13" t="inlineStr">
        <is>
          <t>How does a trie help with autocomplete?</t>
        </is>
      </c>
      <c r="F507" s="13" t="inlineStr">
        <is>
          <t>A trie stores strings character by character along a tree path, so all words with the same prefix share a subtree. Finding the node for a prefix takes O(length of prefix), and all completions live below that node. Without extra optimization you would still have to scan the whole subtree to find the most popular completions, which is too slow for popular prefixes.</t>
        </is>
      </c>
      <c r="G507" s="13" t="inlineStr"/>
    </row>
    <row r="508">
      <c r="A508" s="13" t="n">
        <v>43</v>
      </c>
      <c r="B508" s="24" t="n">
        <v>46335</v>
      </c>
      <c r="C508" s="13" t="inlineStr">
        <is>
          <t>HLD</t>
        </is>
      </c>
      <c r="D508" s="16" t="inlineStr">
        <is>
          <t>Intermediate</t>
        </is>
      </c>
      <c r="E508" s="13" t="inlineStr">
        <is>
          <t>How do you make top-K lookups fast in a trie?</t>
        </is>
      </c>
      <c r="F508" s="13" t="inlineStr">
        <is>
          <t>Precompute and cache the top-K suggestions at every trie node, so a query only walks down to the prefix node and returns its stored list in O(prefix length). This trades memory for latency: each node stores K references. The lists are recomputed offline when rankings change, rather than on every search.</t>
        </is>
      </c>
      <c r="G508" s="13" t="inlineStr"/>
    </row>
    <row r="509">
      <c r="A509" s="13" t="n">
        <v>43</v>
      </c>
      <c r="B509" s="24" t="n">
        <v>46335</v>
      </c>
      <c r="C509" s="13" t="inlineStr">
        <is>
          <t>HLD</t>
        </is>
      </c>
      <c r="D509" s="16" t="inlineStr">
        <is>
          <t>Intermediate</t>
        </is>
      </c>
      <c r="E509" s="13" t="inlineStr">
        <is>
          <t>How are suggestion rankings updated?</t>
        </is>
      </c>
      <c r="F509" s="13" t="inlineStr">
        <is>
          <t>Search queries are logged and streamed into a pipeline (Kafka, then Spark or Flink) that aggregates frequencies over a time window, often with time decay so recent trends count more. Periodically (hourly or daily) a new trie or index is built offline with fresh top-K lists and swapped into the serving nodes atomically. Trending terms can use a faster, smaller real-time pipeline merged at query time.</t>
        </is>
      </c>
      <c r="G509" s="13" t="inlineStr"/>
    </row>
    <row r="510">
      <c r="A510" s="13" t="n">
        <v>43</v>
      </c>
      <c r="B510" s="24" t="n">
        <v>46335</v>
      </c>
      <c r="C510" s="13" t="inlineStr">
        <is>
          <t>HLD</t>
        </is>
      </c>
      <c r="D510" s="17" t="inlineStr">
        <is>
          <t>Advanced</t>
        </is>
      </c>
      <c r="E510" s="13" t="inlineStr">
        <is>
          <t>How do you scale the typeahead serving layer?</t>
        </is>
      </c>
      <c r="F510" s="13" t="inlineStr">
        <is>
          <t>Keep the trie fully in memory on serving nodes and replicate it for read throughput. If it does not fit, shard by prefix range (for example a-f, g-m) with care for skew, since some letters are far more common. Add caching at multiple layers: browser caching of prefix responses, CDN or edge caching, and Redis for hot prefixes. Clients debounce keystrokes (for example 100-200 ms) and can reuse results from a shorter prefix to cut requests.</t>
        </is>
      </c>
      <c r="G510" s="13" t="inlineStr"/>
    </row>
    <row r="511">
      <c r="A511" s="13" t="n">
        <v>43</v>
      </c>
      <c r="B511" s="24" t="n">
        <v>46335</v>
      </c>
      <c r="C511" s="13" t="inlineStr">
        <is>
          <t>HLD</t>
        </is>
      </c>
      <c r="D511" s="17" t="inlineStr">
        <is>
          <t>Advanced</t>
        </is>
      </c>
      <c r="E511" s="13" t="inlineStr">
        <is>
          <t>Trie-based service vs a search engine like Elasticsearch for autocomplete - how do you choose?</t>
        </is>
      </c>
      <c r="F511" s="13" t="inlineStr">
        <is>
          <t>A custom in-memory trie with precomputed top-K gives the lowest latency and full control, and suits a single large popularity-ranked vocabulary like search queries. Elasticsearch offers completion suggesters, edge n-grams, fuzzy matching for typos, filters and multilingual analyzers out of the box, which suit product or location search with many attributes. Many companies start with Elasticsearch and only build a dedicated trie service at very high scale.</t>
        </is>
      </c>
      <c r="G511" s="13" t="inlineStr"/>
    </row>
    <row r="512">
      <c r="A512" s="13" t="n">
        <v>43</v>
      </c>
      <c r="B512" s="24" t="n">
        <v>46335</v>
      </c>
      <c r="C512" s="13" t="inlineStr">
        <is>
          <t>LLD</t>
        </is>
      </c>
      <c r="D512" s="18" t="inlineStr">
        <is>
          <t>Basic</t>
        </is>
      </c>
      <c r="E512" s="13" t="inlineStr">
        <is>
          <t>How do you design a TrieNode class?</t>
        </is>
      </c>
      <c r="F512" s="13" t="inlineStr">
        <is>
          <t>Each node holds its children and an end-of-word marker, and optionally a frequency or top-K list.
```csharp
public class TrieNode {
    public Dictionary&lt;char, TrieNode&gt; Children { get; } = new();
    public bool IsWord { get; set; }
    public int Frequency { get; set; }
}
```
A Dictionary handles any character set; for only lowercase a-z a fixed TrieNode[26] array is faster and smaller per lookup.</t>
        </is>
      </c>
      <c r="G512" s="13" t="inlineStr"/>
    </row>
    <row r="513">
      <c r="A513" s="13" t="n">
        <v>43</v>
      </c>
      <c r="B513" s="24" t="n">
        <v>46335</v>
      </c>
      <c r="C513" s="13" t="inlineStr">
        <is>
          <t>LLD</t>
        </is>
      </c>
      <c r="D513" s="18" t="inlineStr">
        <is>
          <t>Basic</t>
        </is>
      </c>
      <c r="E513" s="13" t="inlineStr">
        <is>
          <t>What is the time and space complexity of trie insert and search?</t>
        </is>
      </c>
      <c r="F513" s="13" t="inlineStr">
        <is>
          <t>Insert and search are O(L), where L is the word length, regardless of how many words are stored. Space is O(total characters across all words) in the worst case, since shared prefixes are stored once. Tries use more memory than a hash set for random strings, due to per-node overhead, but support prefix queries that a hash set cannot.</t>
        </is>
      </c>
      <c r="G513" s="13" t="inlineStr"/>
    </row>
    <row r="514">
      <c r="A514" s="13" t="n">
        <v>43</v>
      </c>
      <c r="B514" s="24" t="n">
        <v>46335</v>
      </c>
      <c r="C514" s="13" t="inlineStr">
        <is>
          <t>LLD</t>
        </is>
      </c>
      <c r="D514" s="16" t="inlineStr">
        <is>
          <t>Intermediate</t>
        </is>
      </c>
      <c r="E514" s="13" t="inlineStr">
        <is>
          <t>Implement Insert and StartsWith for a trie.</t>
        </is>
      </c>
      <c r="F514" s="13" t="inlineStr">
        <is>
          <t>```csharp
public void Insert(string word) {
    var node = _root;
    foreach (var c in word) {
        if (!node.Children.TryGetValue(c, out var next))
            node.Children[c] = next = new TrieNode();
        node = next;
    }
    node.IsWord = true;
}
public bool StartsWith(string prefix) =&gt; FindNode(prefix) is not null;
```
FindNode walks the same loop but returns null as soon as a character is missing.</t>
        </is>
      </c>
      <c r="G514" s="13" t="inlineStr"/>
    </row>
    <row r="515">
      <c r="A515" s="13" t="n">
        <v>43</v>
      </c>
      <c r="B515" s="24" t="n">
        <v>46335</v>
      </c>
      <c r="C515" s="13" t="inlineStr">
        <is>
          <t>LLD</t>
        </is>
      </c>
      <c r="D515" s="16" t="inlineStr">
        <is>
          <t>Intermediate</t>
        </is>
      </c>
      <c r="E515" s="13" t="inlineStr">
        <is>
          <t>How do you return all words with a given prefix?</t>
        </is>
      </c>
      <c r="F515" s="13" t="inlineStr">
        <is>
          <t>Walk down to the prefix node, then run a DFS from it, appending characters to a StringBuilder and collecting a word whenever IsWord is true, backtracking after each child. Use a limit so you can stop early once you have enough results. For ranked results, collect (word, frequency) pairs and keep the top K with a min-heap (PriorityQueue in .NET) of size K.</t>
        </is>
      </c>
      <c r="G515" s="13" t="inlineStr"/>
    </row>
    <row r="516">
      <c r="A516" s="13" t="n">
        <v>43</v>
      </c>
      <c r="B516" s="24" t="n">
        <v>46335</v>
      </c>
      <c r="C516" s="13" t="inlineStr">
        <is>
          <t>LLD</t>
        </is>
      </c>
      <c r="D516" s="17" t="inlineStr">
        <is>
          <t>Advanced</t>
        </is>
      </c>
      <c r="E516" s="13" t="inlineStr">
        <is>
          <t>How would you delete a word from a trie?</t>
        </is>
      </c>
      <c r="F516" s="13" t="inlineStr">
        <is>
          <t>Recursively walk to the last character, set IsWord to false, then on the way back remove any child node that is not the end of another word and has no children. This prunes branches that are no longer needed while keeping shared prefixes used by other words. If you store top-K lists or counts on nodes, update or invalidate them along the path as well.</t>
        </is>
      </c>
      <c r="G516" s="13" t="inlineStr"/>
    </row>
    <row r="517">
      <c r="A517" s="13" t="n">
        <v>43</v>
      </c>
      <c r="B517" s="24" t="n">
        <v>46335</v>
      </c>
      <c r="C517" s="13" t="inlineStr">
        <is>
          <t>LLD</t>
        </is>
      </c>
      <c r="D517" s="17" t="inlineStr">
        <is>
          <t>Advanced</t>
        </is>
      </c>
      <c r="E517" s="13" t="inlineStr">
        <is>
          <t>How would you design the trie class for autocomplete with cached top-K and thread safety?</t>
        </is>
      </c>
      <c r="F517" s="13" t="inlineStr">
        <is>
          <t>Each node stores a small list of the top K (word, score) pairs, updated along the insertion path when a word's score changes. For concurrency, avoid locking per read: build a new trie in the background and publish it by swapping a reference (Volatile.Write or Interlocked.Exchange), so readers always see an immutable, consistent trie. Expose it through an IAutocompleteIndex interface with Suggest(prefix, k), so the trie can later be replaced with a search engine.</t>
        </is>
      </c>
      <c r="G517" s="13" t="inlineStr"/>
    </row>
    <row r="518">
      <c r="A518" s="13" t="n">
        <v>44</v>
      </c>
      <c r="B518" s="24" t="n">
        <v>46336</v>
      </c>
      <c r="C518" s="13" t="inlineStr">
        <is>
          <t>HLD</t>
        </is>
      </c>
      <c r="D518" s="18" t="inlineStr">
        <is>
          <t>Basic</t>
        </is>
      </c>
      <c r="E518" s="13" t="inlineStr">
        <is>
          <t>What is offset pagination and what are its problems?</t>
        </is>
      </c>
      <c r="F518" s="13" t="inlineStr">
        <is>
          <t>Offset pagination uses LIMIT 20 OFFSET 1000 (or page number and page size). It is simple and supports jumping to any page. But the database still has to scan and discard all skipped rows, so deep pages get slow, and if rows are inserted or deleted between requests, users see duplicates or miss items.</t>
        </is>
      </c>
      <c r="G518" s="13" t="inlineStr"/>
    </row>
    <row r="519">
      <c r="A519" s="13" t="n">
        <v>44</v>
      </c>
      <c r="B519" s="24" t="n">
        <v>46336</v>
      </c>
      <c r="C519" s="13" t="inlineStr">
        <is>
          <t>HLD</t>
        </is>
      </c>
      <c r="D519" s="18" t="inlineStr">
        <is>
          <t>Basic</t>
        </is>
      </c>
      <c r="E519" s="13" t="inlineStr">
        <is>
          <t>What is cursor (keyset) pagination?</t>
        </is>
      </c>
      <c r="F519" s="13" t="inlineStr">
        <is>
          <t>Instead of an offset, the client sends the key of the last item it saw, and the query fetches the next rows after it: WHERE id &gt; @lastId ORDER BY id LIMIT 20. With an index on the sort key, every page is a fast index seek no matter how deep. Results stay stable even when new rows are inserted.</t>
        </is>
      </c>
      <c r="G519" s="13" t="inlineStr"/>
    </row>
    <row r="520">
      <c r="A520" s="13" t="n">
        <v>44</v>
      </c>
      <c r="B520" s="24" t="n">
        <v>46336</v>
      </c>
      <c r="C520" s="13" t="inlineStr">
        <is>
          <t>HLD</t>
        </is>
      </c>
      <c r="D520" s="16" t="inlineStr">
        <is>
          <t>Intermediate</t>
        </is>
      </c>
      <c r="E520" s="13" t="inlineStr">
        <is>
          <t>How do you implement a cursor when sorting by a non-unique column like created_at?</t>
        </is>
      </c>
      <c r="F520" s="13" t="inlineStr">
        <is>
          <t>Use a composite sort key that includes a unique tiebreaker, such as (created_at, id). The query becomes WHERE (created_at, id) &lt; (@lastCreatedAt, @lastId) ORDER BY created_at DESC, id DESC LIMIT 20, backed by a composite index on the same columns. Without the tiebreaker, rows with equal timestamps can be skipped or repeated across pages.</t>
        </is>
      </c>
      <c r="G520" s="13" t="inlineStr"/>
    </row>
    <row r="521">
      <c r="A521" s="13" t="n">
        <v>44</v>
      </c>
      <c r="B521" s="24" t="n">
        <v>46336</v>
      </c>
      <c r="C521" s="13" t="inlineStr">
        <is>
          <t>HLD</t>
        </is>
      </c>
      <c r="D521" s="16" t="inlineStr">
        <is>
          <t>Intermediate</t>
        </is>
      </c>
      <c r="E521" s="13" t="inlineStr">
        <is>
          <t>What should a paginated API response look like?</t>
        </is>
      </c>
      <c r="F521" s="13" t="inlineStr">
        <is>
          <t>Return the items plus a next_cursor token (and has_more), for example { items: [...], next_cursor: "eyJpZCI6MTAwfQ", has_more: true }. The cursor should be opaque to clients, typically Base64-encoded JSON of the sort key values, so you can change the internals later. Limit page size to a server-enforced maximum, and include the filters in the cursor or require the same filters on each call.</t>
        </is>
      </c>
      <c r="G521" s="13" t="inlineStr"/>
    </row>
    <row r="522">
      <c r="A522" s="13" t="n">
        <v>44</v>
      </c>
      <c r="B522" s="24" t="n">
        <v>46336</v>
      </c>
      <c r="C522" s="13" t="inlineStr">
        <is>
          <t>HLD</t>
        </is>
      </c>
      <c r="D522" s="17" t="inlineStr">
        <is>
          <t>Advanced</t>
        </is>
      </c>
      <c r="E522" s="13" t="inlineStr">
        <is>
          <t>When should you still use offset pagination?</t>
        </is>
      </c>
      <c r="F522" s="13" t="inlineStr">
        <is>
          <t>When users genuinely need to jump to page N or see total page counts, such as admin tables or search result pages, and the data set is small or deep pages are rarely visited. Many search engines cap results (for example, the first 1000) so offset stays cheap. For infinite scroll feeds, timelines, exports and syncing large tables, cursor pagination is the better choice.</t>
        </is>
      </c>
      <c r="G522" s="13" t="inlineStr"/>
    </row>
    <row r="523">
      <c r="A523" s="13" t="n">
        <v>44</v>
      </c>
      <c r="B523" s="24" t="n">
        <v>46336</v>
      </c>
      <c r="C523" s="13" t="inlineStr">
        <is>
          <t>HLD</t>
        </is>
      </c>
      <c r="D523" s="17" t="inlineStr">
        <is>
          <t>Advanced</t>
        </is>
      </c>
      <c r="E523" s="13" t="inlineStr">
        <is>
          <t>How do you paginate across shards or merged data sources?</t>
        </is>
      </c>
      <c r="F523" s="13" t="inlineStr">
        <is>
          <t>Offset does not work well because each shard would need to return OFFSET + LIMIT rows to merge. With cursors, send the same cursor (last sort key) to every shard, fetch LIMIT rows from each, merge-sort them, and return the top LIMIT with a new cursor built from the last item returned. The cursor may need per-shard positions when sort keys are not globally unique. Total counts are expensive, so return approximate counts or omit them.</t>
        </is>
      </c>
      <c r="G523" s="13" t="inlineStr"/>
    </row>
    <row r="524">
      <c r="A524" s="13" t="n">
        <v>44</v>
      </c>
      <c r="B524" s="24" t="n">
        <v>46336</v>
      </c>
      <c r="C524" s="13" t="inlineStr">
        <is>
          <t>LLD</t>
        </is>
      </c>
      <c r="D524" s="18" t="inlineStr">
        <is>
          <t>Basic</t>
        </is>
      </c>
      <c r="E524" s="13" t="inlineStr">
        <is>
          <t>What are the core entities in a BookMyShow-style movie booking system?</t>
        </is>
      </c>
      <c r="F524" s="13" t="inlineStr">
        <is>
          <t>City, Cinema (Theatre), Screen (Audi), Seat (row, number, SeatType), Movie, Show (movie + screen + start time), ShowSeat (seat status for a specific show), Booking, Payment and User. Separating Seat from ShowSeat is the key insight: a physical seat exists once, but its availability and price are per show.</t>
        </is>
      </c>
      <c r="G524" s="13" t="inlineStr"/>
    </row>
    <row r="525">
      <c r="A525" s="13" t="n">
        <v>44</v>
      </c>
      <c r="B525" s="24" t="n">
        <v>46336</v>
      </c>
      <c r="C525" s="13" t="inlineStr">
        <is>
          <t>LLD</t>
        </is>
      </c>
      <c r="D525" s="18" t="inlineStr">
        <is>
          <t>Basic</t>
        </is>
      </c>
      <c r="E525" s="13" t="inlineStr">
        <is>
          <t>Why do you need a ShowSeat entity separate from Seat?</t>
        </is>
      </c>
      <c r="F525" s="13" t="inlineStr">
        <is>
          <t>A Seat is a fixed physical attribute of a screen, while the same seat can be available for one show and booked for another. ShowSeat links a Show to a Seat and holds that show's status (Available, Locked, Booked), price, and lock details. Without it, you would have to store status on Seat, which breaks as soon as a screen has more than one show.</t>
        </is>
      </c>
      <c r="G525" s="13" t="inlineStr"/>
    </row>
    <row r="526">
      <c r="A526" s="13" t="n">
        <v>44</v>
      </c>
      <c r="B526" s="24" t="n">
        <v>46336</v>
      </c>
      <c r="C526" s="13" t="inlineStr">
        <is>
          <t>LLD</t>
        </is>
      </c>
      <c r="D526" s="16" t="inlineStr">
        <is>
          <t>Intermediate</t>
        </is>
      </c>
      <c r="E526" s="13" t="inlineStr">
        <is>
          <t>How would you model seat types and pricing?</t>
        </is>
      </c>
      <c r="F526" s="13" t="inlineStr">
        <is>
          <t>Use an enum SeatType such as Regular, Premium and Recliner on Seat, and keep pricing on the Show or a pricing rule, for example a dictionary from SeatType to price per show, since prices vary by show time, day and movie. An IPricingStrategy can add weekend or dynamic pricing. The chosen price is copied onto the Booking at booking time so later price changes do not alter confirmed bookings.</t>
        </is>
      </c>
      <c r="G526" s="13" t="inlineStr"/>
    </row>
    <row r="527">
      <c r="A527" s="13" t="n">
        <v>44</v>
      </c>
      <c r="B527" s="24" t="n">
        <v>46336</v>
      </c>
      <c r="C527" s="13" t="inlineStr">
        <is>
          <t>LLD</t>
        </is>
      </c>
      <c r="D527" s="16" t="inlineStr">
        <is>
          <t>Intermediate</t>
        </is>
      </c>
      <c r="E527" s="13" t="inlineStr">
        <is>
          <t>Sketch the Show and ShowSeat classes.</t>
        </is>
      </c>
      <c r="F527" s="13" t="inlineStr">
        <is>
          <t>```csharp
public enum SeatStatus { Available, Locked, Booked }
public class ShowSeat {
    public Seat Seat { get; }
    public decimal Price { get; }
    public SeatStatus Status { get; private set; } = SeatStatus.Available;
    public string? LockedBy { get; private set; }
    public DateTime? LockExpiresAt { get; private set; }
}
public class Show {
    public Movie Movie { get; } public Screen Screen { get; } public DateTime StartsAt { get; }
    public IReadOnlyList&lt;ShowSeat&gt; Seats { get; }
}
```</t>
        </is>
      </c>
      <c r="G527" s="13" t="inlineStr"/>
    </row>
    <row r="528">
      <c r="A528" s="13" t="n">
        <v>44</v>
      </c>
      <c r="B528" s="24" t="n">
        <v>46336</v>
      </c>
      <c r="C528" s="13" t="inlineStr">
        <is>
          <t>LLD</t>
        </is>
      </c>
      <c r="D528" s="17" t="inlineStr">
        <is>
          <t>Advanced</t>
        </is>
      </c>
      <c r="E528" s="13" t="inlineStr">
        <is>
          <t>What does the Booking entity contain and what states does it have?</t>
        </is>
      </c>
      <c r="F528" s="13" t="inlineStr">
        <is>
          <t>Booking holds Id, User, Show, the list of ShowSeats, total amount, payment reference, created time and status. Status goes Pending (seats locked, awaiting payment), then Confirmed on payment success, or Cancelled/Expired if payment fails or times out. Cancellation after confirmation can lead to a Refunded state. Modelling this as a state machine (State pattern or explicit transition methods) prevents invalid moves like confirming an expired booking.</t>
        </is>
      </c>
      <c r="G528" s="13" t="inlineStr"/>
    </row>
    <row r="529">
      <c r="A529" s="13" t="n">
        <v>44</v>
      </c>
      <c r="B529" s="24" t="n">
        <v>46336</v>
      </c>
      <c r="C529" s="13" t="inlineStr">
        <is>
          <t>LLD</t>
        </is>
      </c>
      <c r="D529" s="17" t="inlineStr">
        <is>
          <t>Advanced</t>
        </is>
      </c>
      <c r="E529" s="13" t="inlineStr">
        <is>
          <t>Which services and interfaces would you define around these entities?</t>
        </is>
      </c>
      <c r="F529" s="13" t="inlineStr">
        <is>
          <t>- IShowService: search shows by city, movie and date.
- ISeatLockService: LockSeats, UnlockSeats, ValidateLock.
- IBookingService: CreateBooking, ConfirmBooking, CancelBooking.
- IPaymentService: wraps payment gateways via Adapter.
- INotificationService: sends tickets via email or SMS through Observer or domain events.
Entities hold state and invariants; services orchestrate the workflow, and repositories handle persistence.</t>
        </is>
      </c>
      <c r="G529" s="13" t="inlineStr"/>
    </row>
    <row r="530">
      <c r="A530" s="13" t="n">
        <v>45</v>
      </c>
      <c r="B530" s="24" t="n">
        <v>46337</v>
      </c>
      <c r="C530" s="13" t="inlineStr">
        <is>
          <t>HLD</t>
        </is>
      </c>
      <c r="D530" s="18" t="inlineStr">
        <is>
          <t>Basic</t>
        </is>
      </c>
      <c r="E530" s="13" t="inlineStr">
        <is>
          <t>What is optimistic locking?</t>
        </is>
      </c>
      <c r="F530" s="13" t="inlineStr">
        <is>
          <t>Optimistic locking assumes conflicts are rare, so it does not lock when reading. Each row has a version number or timestamp, and the update includes it: UPDATE ... SET ..., version = version + 1 WHERE id = @id AND version = @v. If zero rows are updated, someone else changed the row first, so the operation retries or reports a conflict. It works well for low-contention, read-heavy data.</t>
        </is>
      </c>
      <c r="G530" s="13" t="inlineStr"/>
    </row>
    <row r="531">
      <c r="A531" s="13" t="n">
        <v>45</v>
      </c>
      <c r="B531" s="24" t="n">
        <v>46337</v>
      </c>
      <c r="C531" s="13" t="inlineStr">
        <is>
          <t>HLD</t>
        </is>
      </c>
      <c r="D531" s="18" t="inlineStr">
        <is>
          <t>Basic</t>
        </is>
      </c>
      <c r="E531" s="13" t="inlineStr">
        <is>
          <t>What is pessimistic locking?</t>
        </is>
      </c>
      <c r="F531" s="13" t="inlineStr">
        <is>
          <t>Pessimistic locking takes a lock before modifying, for example SELECT ... FOR UPDATE in SQL or UPDLOCK in SQL Server, so other transactions wait until the lock is released. It guarantees no conflicting writes but reduces concurrency, and it can cause deadlocks and long waits. It suits high-contention, short critical sections, such as decrementing a limited stock count.</t>
        </is>
      </c>
      <c r="G531" s="13" t="inlineStr"/>
    </row>
    <row r="532">
      <c r="A532" s="13" t="n">
        <v>45</v>
      </c>
      <c r="B532" s="24" t="n">
        <v>46337</v>
      </c>
      <c r="C532" s="13" t="inlineStr">
        <is>
          <t>HLD</t>
        </is>
      </c>
      <c r="D532" s="16" t="inlineStr">
        <is>
          <t>Intermediate</t>
        </is>
      </c>
      <c r="E532" s="13" t="inlineStr">
        <is>
          <t>How do you choose between optimistic and pessimistic locking?</t>
        </is>
      </c>
      <c r="F532" s="13" t="inlineStr">
        <is>
          <t>Use optimistic when conflicts are rare and retries are cheap, like editing a user profile or a document, since it avoids holding locks. Use pessimistic when conflicts are frequent or a retry is expensive or unacceptable, such as flash-sale inventory, because under high contention optimistic locking causes many failed retries. Keep pessimistic transactions short and lock rows in a consistent order to avoid deadlocks.</t>
        </is>
      </c>
      <c r="G532" s="13" t="inlineStr"/>
    </row>
    <row r="533">
      <c r="A533" s="13" t="n">
        <v>45</v>
      </c>
      <c r="B533" s="24" t="n">
        <v>46337</v>
      </c>
      <c r="C533" s="13" t="inlineStr">
        <is>
          <t>HLD</t>
        </is>
      </c>
      <c r="D533" s="16" t="inlineStr">
        <is>
          <t>Intermediate</t>
        </is>
      </c>
      <c r="E533" s="13" t="inlineStr">
        <is>
          <t>How do you implement a distributed lock with Redis?</t>
        </is>
      </c>
      <c r="F533" s="13" t="inlineStr">
        <is>
          <t>Acquire it with SET lock:key &lt;uniqueToken&gt; NX PX 30000: NX sets only if it does not exist, and the expiry ensures the lock is released if the holder crashes. Release it only if you still own it, using a Lua script that checks the token equals yours before deleting, so you never delete someone else's lock. Pick a TTL longer than the expected work, or extend it with a watchdog while working.</t>
        </is>
      </c>
      <c r="G533" s="13" t="inlineStr"/>
    </row>
    <row r="534">
      <c r="A534" s="13" t="n">
        <v>45</v>
      </c>
      <c r="B534" s="24" t="n">
        <v>46337</v>
      </c>
      <c r="C534" s="13" t="inlineStr">
        <is>
          <t>HLD</t>
        </is>
      </c>
      <c r="D534" s="17" t="inlineStr">
        <is>
          <t>Advanced</t>
        </is>
      </c>
      <c r="E534" s="13" t="inlineStr">
        <is>
          <t>What can go wrong with Redis distributed locks, and how do you guard against it?</t>
        </is>
      </c>
      <c r="F534" s="13" t="inlineStr">
        <is>
          <t>If a client pauses (GC, network) longer than the TTL, the lock expires, another client takes it, and both believe they hold it. Redis failover can also lose a lock that had not replicated. Redlock uses a majority of independent Redis nodes but is still debated for correctness. The robust approach is to use the lock for efficiency and add a fencing token or a version check in the database, so a stale holder's write is rejected. For strict correctness, use a consensus system like etcd or ZooKeeper.</t>
        </is>
      </c>
      <c r="G534" s="13" t="inlineStr"/>
    </row>
    <row r="535">
      <c r="A535" s="13" t="n">
        <v>45</v>
      </c>
      <c r="B535" s="24" t="n">
        <v>46337</v>
      </c>
      <c r="C535" s="13" t="inlineStr">
        <is>
          <t>HLD</t>
        </is>
      </c>
      <c r="D535" s="17" t="inlineStr">
        <is>
          <t>Advanced</t>
        </is>
      </c>
      <c r="E535" s="13" t="inlineStr">
        <is>
          <t>How does optimistic concurrency work in Entity Framework Core?</t>
        </is>
      </c>
      <c r="F535" s="13" t="inlineStr">
        <is>
          <t>Mark a property as a concurrency token, typically a [Timestamp] byte[] RowVersion in SQL Server, which the database changes on every update. EF Core adds WHERE RowVersion = @original to UPDATE and DELETE statements, and if no rows are affected it throws DbUpdateConcurrencyException. You catch it, reload the current values, and either retry, merge, or return 409 Conflict to the client. In APIs, the version is often exposed as an ETag with If-Match headers.</t>
        </is>
      </c>
      <c r="G535" s="13" t="inlineStr"/>
    </row>
    <row r="536">
      <c r="A536" s="13" t="n">
        <v>45</v>
      </c>
      <c r="B536" s="24" t="n">
        <v>46337</v>
      </c>
      <c r="C536" s="13" t="inlineStr">
        <is>
          <t>LLD</t>
        </is>
      </c>
      <c r="D536" s="18" t="inlineStr">
        <is>
          <t>Basic</t>
        </is>
      </c>
      <c r="E536" s="13" t="inlineStr">
        <is>
          <t>Why do we need temporary seat locking in BookMyShow?</t>
        </is>
      </c>
      <c r="F536" s="13" t="inlineStr">
        <is>
          <t>Between choosing seats and completing payment there can be several minutes, and without a hold two users could pay for the same seat. A temporary lock (for example 5-10 minutes) reserves the seats for one user while they pay. If payment does not complete in time, the lock expires and the seats become available again.</t>
        </is>
      </c>
      <c r="G536" s="13" t="inlineStr"/>
    </row>
    <row r="537">
      <c r="A537" s="13" t="n">
        <v>45</v>
      </c>
      <c r="B537" s="24" t="n">
        <v>46337</v>
      </c>
      <c r="C537" s="13" t="inlineStr">
        <is>
          <t>LLD</t>
        </is>
      </c>
      <c r="D537" s="18" t="inlineStr">
        <is>
          <t>Basic</t>
        </is>
      </c>
      <c r="E537" s="13" t="inlineStr">
        <is>
          <t>What are the seat state transitions?</t>
        </is>
      </c>
      <c r="F537" s="13" t="inlineStr">
        <is>
          <t>Available to Locked when a user selects seats and the lock succeeds; Locked to Booked when payment succeeds; Locked back to Available when the user cancels, payment fails or the lock expires. Booked can go back to Available only through an explicit cancellation or refund flow. Every transition must be validated, for example you can only book seats that are locked by the same user and not expired.</t>
        </is>
      </c>
      <c r="G537" s="13" t="inlineStr"/>
    </row>
    <row r="538">
      <c r="A538" s="13" t="n">
        <v>45</v>
      </c>
      <c r="B538" s="24" t="n">
        <v>46337</v>
      </c>
      <c r="C538" s="13" t="inlineStr">
        <is>
          <t>LLD</t>
        </is>
      </c>
      <c r="D538" s="16" t="inlineStr">
        <is>
          <t>Intermediate</t>
        </is>
      </c>
      <c r="E538" s="13" t="inlineStr">
        <is>
          <t>How do you lock multiple seats atomically so a user gets all or none?</t>
        </is>
      </c>
      <c r="F538" s="13" t="inlineStr">
        <is>
          <t>In SQL, run one transaction with a conditional update: UPDATE ShowSeats SET Status='Locked', LockedBy=@user, LockExpiresAt=@exp WHERE ShowId=@show AND SeatId IN (...) AND (Status='Available' OR LockExpiresAt &lt; now), then check the affected row count equals the number of seats requested; if not, roll back. In Redis, use a Lua script or MSETNX so all seat keys are set atomically or none are. Sorting seat IDs consistently also helps avoid deadlocks.</t>
        </is>
      </c>
      <c r="G538" s="13" t="inlineStr"/>
    </row>
    <row r="539">
      <c r="A539" s="13" t="n">
        <v>45</v>
      </c>
      <c r="B539" s="24" t="n">
        <v>46337</v>
      </c>
      <c r="C539" s="13" t="inlineStr">
        <is>
          <t>LLD</t>
        </is>
      </c>
      <c r="D539" s="16" t="inlineStr">
        <is>
          <t>Intermediate</t>
        </is>
      </c>
      <c r="E539" s="13" t="inlineStr">
        <is>
          <t>Implement an in-memory seat lock service in C#.</t>
        </is>
      </c>
      <c r="F539" s="13" t="inlineStr">
        <is>
          <t>```csharp
public class SeatLockService {
    private readonly object _gate = new();
    public bool TryLock(Show show, IReadOnlyList&lt;ShowSeat&gt; seats, string userId, TimeSpan ttl) {
        lock (_gate) {
            var now = DateTime.UtcNow;
            if (seats.Any(s =&gt; !s.IsLockableAt(now))) return false;
            foreach (var s in seats) s.Lock(userId, now + ttl);
            return true;
        }
    }
}
```
Check all seats first, then lock all, inside one critical section; a per-show lock object reduces contention across shows.</t>
        </is>
      </c>
      <c r="G539" s="13" t="inlineStr"/>
    </row>
    <row r="540">
      <c r="A540" s="13" t="n">
        <v>45</v>
      </c>
      <c r="B540" s="24" t="n">
        <v>46337</v>
      </c>
      <c r="C540" s="13" t="inlineStr">
        <is>
          <t>LLD</t>
        </is>
      </c>
      <c r="D540" s="17" t="inlineStr">
        <is>
          <t>Advanced</t>
        </is>
      </c>
      <c r="E540" s="13" t="inlineStr">
        <is>
          <t>How do you release expired seat locks?</t>
        </is>
      </c>
      <c r="F540" s="13" t="inlineStr">
        <is>
          <t>Lazy expiry: treat a Locked seat whose LockExpiresAt has passed as Available at check time, so no cleanup is needed for correctness. Add a background job (a hosted service in .NET) that periodically resets expired locks so seat maps display correctly. With Redis, just set a TTL on the lock key and let it expire automatically. Confirmation must re-check that the lock still belongs to the user and has not expired before marking seats Booked.</t>
        </is>
      </c>
      <c r="G540" s="13" t="inlineStr"/>
    </row>
    <row r="541">
      <c r="A541" s="13" t="n">
        <v>45</v>
      </c>
      <c r="B541" s="24" t="n">
        <v>46337</v>
      </c>
      <c r="C541" s="13" t="inlineStr">
        <is>
          <t>LLD</t>
        </is>
      </c>
      <c r="D541" s="17" t="inlineStr">
        <is>
          <t>Advanced</t>
        </is>
      </c>
      <c r="E541" s="13" t="inlineStr">
        <is>
          <t>How do you handle a payment that succeeds after the seat lock has already expired?</t>
        </is>
      </c>
      <c r="F541" s="13" t="inlineStr">
        <is>
          <t>At confirmation, try to convert the seats from Locked-by-this-user to Booked with a conditional update. If that fails because another user has since locked or booked them, do not double-book: mark the booking failed and trigger an automatic refund, or try to offer the same seats if they are still free. To reduce this case, keep the lock slightly longer than the payment gateway timeout and make payment callbacks idempotent using the booking ID.</t>
        </is>
      </c>
      <c r="G541" s="13" t="inlineStr"/>
    </row>
    <row r="542">
      <c r="A542" s="13" t="n">
        <v>46</v>
      </c>
      <c r="B542" s="24" t="n">
        <v>46338</v>
      </c>
      <c r="C542" s="13" t="inlineStr">
        <is>
          <t>HLD</t>
        </is>
      </c>
      <c r="D542" s="18" t="inlineStr">
        <is>
          <t>Basic</t>
        </is>
      </c>
      <c r="E542" s="13" t="inlineStr">
        <is>
          <t>What is the difference between short polling, long polling, WebSockets and Server-Sent Events?</t>
        </is>
      </c>
      <c r="F542" s="13" t="inlineStr">
        <is>
          <t>- Short polling: the client asks every N seconds; simple but wastes requests and adds latency up to N.
- Long polling: the server holds the request open until data arrives or a timeout, then the client re-requests; near real-time over plain HTTP.
- WebSockets: one upgraded TCP connection, full-duplex, low overhead per message.
- SSE: a one-way server-to-client stream over HTTP (text/event-stream) with built-in reconnect and event IDs.</t>
        </is>
      </c>
      <c r="G542" s="13" t="inlineStr"/>
    </row>
    <row r="543">
      <c r="A543" s="13" t="n">
        <v>46</v>
      </c>
      <c r="B543" s="24" t="n">
        <v>46338</v>
      </c>
      <c r="C543" s="13" t="inlineStr">
        <is>
          <t>HLD</t>
        </is>
      </c>
      <c r="D543" s="18" t="inlineStr">
        <is>
          <t>Basic</t>
        </is>
      </c>
      <c r="E543" s="13" t="inlineStr">
        <is>
          <t>When would you choose SSE over WebSockets?</t>
        </is>
      </c>
      <c r="F543" s="13" t="inlineStr">
        <is>
          <t>Choose SSE when data flows only from server to client, such as live scores, notifications or stock tickers. It works over normal HTTP, passes through proxies more easily, auto-reconnects and resumes with Last-Event-ID. WebSockets are better when the client also sends frequent messages, like chat or multiplayer games. In .NET, SignalR abstracts all of these and falls back automatically.</t>
        </is>
      </c>
      <c r="G543" s="13" t="inlineStr"/>
    </row>
    <row r="544">
      <c r="A544" s="13" t="n">
        <v>46</v>
      </c>
      <c r="B544" s="24" t="n">
        <v>46338</v>
      </c>
      <c r="C544" s="13" t="inlineStr">
        <is>
          <t>HLD</t>
        </is>
      </c>
      <c r="D544" s="16" t="inlineStr">
        <is>
          <t>Intermediate</t>
        </is>
      </c>
      <c r="E544" s="13" t="inlineStr">
        <is>
          <t>How do you scale WebSocket servers horizontally when a user on server A messages a user on server B?</t>
        </is>
      </c>
      <c r="F544" s="13" t="inlineStr">
        <is>
          <t>Use stateless-ish connection (gateway) servers that only hold sockets, plus a pub/sub backbone such as Redis Pub/Sub, Kafka or Azure SignalR Service. Keep a session registry (userId -&gt; connection server) in Redis. When a message arrives, publish it to the channel of the server holding the recipient, or to a per-user topic that the right server subscribes to. The load balancer only needs to route the initial handshake; sticky sessions matter only for fallback transports like long polling.</t>
        </is>
      </c>
      <c r="G544" s="13" t="inlineStr"/>
    </row>
    <row r="545">
      <c r="A545" s="13" t="n">
        <v>46</v>
      </c>
      <c r="B545" s="24" t="n">
        <v>46338</v>
      </c>
      <c r="C545" s="13" t="inlineStr">
        <is>
          <t>HLD</t>
        </is>
      </c>
      <c r="D545" s="16" t="inlineStr">
        <is>
          <t>Intermediate</t>
        </is>
      </c>
      <c r="E545" s="13" t="inlineStr">
        <is>
          <t>How would you implement user presence (online/offline/last seen)?</t>
        </is>
      </c>
      <c r="F545" s="13" t="inlineStr">
        <is>
          <t>Clients send a heartbeat every 20-30 seconds over the socket; the server writes presence:userId with a TTL slightly longer than the interval in Redis. If the TTL expires, the user is offline and last-seen is the last heartbeat time. Presence changes are published to friends or room members, but debounced so flapping connections do not cause event storms. For large groups, fetch presence lazily when a chat is opened instead of pushing to everyone.</t>
        </is>
      </c>
      <c r="G545" s="13" t="inlineStr"/>
    </row>
    <row r="546">
      <c r="A546" s="13" t="n">
        <v>46</v>
      </c>
      <c r="B546" s="24" t="n">
        <v>46338</v>
      </c>
      <c r="C546" s="13" t="inlineStr">
        <is>
          <t>HLD</t>
        </is>
      </c>
      <c r="D546" s="17" t="inlineStr">
        <is>
          <t>Advanced</t>
        </is>
      </c>
      <c r="E546" s="13" t="inlineStr">
        <is>
          <t>How do you handle reconnects without losing or duplicating messages?</t>
        </is>
      </c>
      <c r="F546" s="13" t="inlineStr">
        <is>
          <t>Give every message a monotonically increasing sequence number per conversation (or a server offset). On reconnect, the client sends the last sequence it acknowledged and the server replays everything after it from the durable store, not from memory. Clients use exponential backoff with jitter to avoid a thundering herd after a server restart. Messages carry a client-generated ID so the server and client can dedupe retries, giving effectively-once delivery.</t>
        </is>
      </c>
      <c r="G546" s="13" t="inlineStr"/>
    </row>
    <row r="547">
      <c r="A547" s="13" t="n">
        <v>46</v>
      </c>
      <c r="B547" s="24" t="n">
        <v>46338</v>
      </c>
      <c r="C547" s="13" t="inlineStr">
        <is>
          <t>HLD</t>
        </is>
      </c>
      <c r="D547" s="17" t="inlineStr">
        <is>
          <t>Advanced</t>
        </is>
      </c>
      <c r="E547" s="13" t="inlineStr">
        <is>
          <t>What are the capacity limits of a WebSocket server and how do you plan for a million concurrent connections?</t>
        </is>
      </c>
      <c r="F547" s="13" t="inlineStr">
        <is>
          <t>Each connection costs a file descriptor, kernel socket buffers and some application memory (tens of KB), so one tuned server can hold roughly 50k-200k idle connections. For 1M connections plan 10-20 gateway nodes plus headroom, raise OS limits (ulimit, ephemeral ports) and use async I/O (Kestrel is fine). Load balancers must support long-lived connections and idle timeouts above the heartbeat interval. Deploys must drain connections gradually, since restarting a node forces all its clients to reconnect at once.</t>
        </is>
      </c>
      <c r="G547" s="13" t="inlineStr"/>
    </row>
    <row r="548">
      <c r="A548" s="13" t="n">
        <v>46</v>
      </c>
      <c r="B548" s="24" t="n">
        <v>46338</v>
      </c>
      <c r="C548" s="13" t="inlineStr">
        <is>
          <t>LLD</t>
        </is>
      </c>
      <c r="D548" s="18" t="inlineStr">
        <is>
          <t>Basic</t>
        </is>
      </c>
      <c r="E548" s="13" t="inlineStr">
        <is>
          <t>What are the core classes in a chat application LLD?</t>
        </is>
      </c>
      <c r="F548" s="13" t="inlineStr">
        <is>
          <t>- User: Id, Name, Status.
- ChatRoom (or Conversation): Id, Type (Direct/Group), members, messages.
- Message: Id, SenderId, RoomId, Content, SentAt, Status.
- ChatService: sendMessage, createRoom, addMember - the orchestrator.
- MessageRepository and a notifier/observer to push messages to online users.</t>
        </is>
      </c>
      <c r="G548" s="13" t="inlineStr"/>
    </row>
    <row r="549">
      <c r="A549" s="13" t="n">
        <v>46</v>
      </c>
      <c r="B549" s="24" t="n">
        <v>46338</v>
      </c>
      <c r="C549" s="13" t="inlineStr">
        <is>
          <t>LLD</t>
        </is>
      </c>
      <c r="D549" s="18" t="inlineStr">
        <is>
          <t>Basic</t>
        </is>
      </c>
      <c r="E549" s="13" t="inlineStr">
        <is>
          <t>How would you model 1:1 chats and group chats - separate classes or one?</t>
        </is>
      </c>
      <c r="F549" s="13" t="inlineStr">
        <is>
          <t>Model both as one Conversation abstraction with a list of participants; a direct chat is just a conversation with exactly two members and no admin. This keeps sending, storing and fetching messages identical. Use an abstract base or a Type enum; group-only behaviour like admins, names and member limits goes into a GroupChat subclass. For 1:1 chats, derive a deterministic ID (for example sorted user IDs) so the same pair never creates two conversations.</t>
        </is>
      </c>
      <c r="G549" s="13" t="inlineStr"/>
    </row>
    <row r="550">
      <c r="A550" s="13" t="n">
        <v>46</v>
      </c>
      <c r="B550" s="24" t="n">
        <v>46338</v>
      </c>
      <c r="C550" s="13" t="inlineStr">
        <is>
          <t>LLD</t>
        </is>
      </c>
      <c r="D550" s="16" t="inlineStr">
        <is>
          <t>Intermediate</t>
        </is>
      </c>
      <c r="E550" s="13" t="inlineStr">
        <is>
          <t>How would you deliver new messages to room members using the Observer pattern?</t>
        </is>
      </c>
      <c r="F550" s="13" t="inlineStr">
        <is>
          <t>The ChatRoom is the subject and each connected member session is an observer. When a message is posted, the room notifies all observers except the sender; offline users are skipped and fetch later.
```csharp
public interface IMessageObserver { void OnMessage(Message m); }
public class ChatRoom {
    private readonly List&lt;IMessageObserver&gt; _observers = new();
    public void Join(IMessageObserver o) =&gt; _observers.Add(o);
    public void Leave(IMessageObserver o) =&gt; _observers.Remove(o);
    public void Post(Message m) {
        foreach (var o in _observers) o.OnMessage(m);
    }
}
```</t>
        </is>
      </c>
      <c r="G550" s="13" t="inlineStr"/>
    </row>
    <row r="551">
      <c r="A551" s="13" t="n">
        <v>46</v>
      </c>
      <c r="B551" s="24" t="n">
        <v>46338</v>
      </c>
      <c r="C551" s="13" t="inlineStr">
        <is>
          <t>LLD</t>
        </is>
      </c>
      <c r="D551" s="16" t="inlineStr">
        <is>
          <t>Intermediate</t>
        </is>
      </c>
      <c r="E551" s="13" t="inlineStr">
        <is>
          <t>How do you model message status (sent, delivered, read) in a group chat?</t>
        </is>
      </c>
      <c r="F551" s="13" t="inlineStr">
        <is>
          <t>A single Status field on Message does not work for groups because each recipient has their own state. Keep a separate MessageReceipt(MessageId, UserId, DeliveredAt, ReadAt) per recipient. The aggregate status shown to the sender is derived: delivered when all receipts have DeliveredAt, read when all have ReadAt. Status transitions only move forward (Sent -&gt; Delivered -&gt; Read), which you enforce in a method rather than a public setter.</t>
        </is>
      </c>
      <c r="G551" s="13" t="inlineStr"/>
    </row>
    <row r="552">
      <c r="A552" s="13" t="n">
        <v>46</v>
      </c>
      <c r="B552" s="24" t="n">
        <v>46338</v>
      </c>
      <c r="C552" s="13" t="inlineStr">
        <is>
          <t>LLD</t>
        </is>
      </c>
      <c r="D552" s="17" t="inlineStr">
        <is>
          <t>Advanced</t>
        </is>
      </c>
      <c r="E552" s="13" t="inlineStr">
        <is>
          <t>How would you support different message types (text, image, file) extensibly?</t>
        </is>
      </c>
      <c r="F552" s="13" t="inlineStr">
        <is>
          <t>Make Message an abstract base with shared fields (Id, Sender, SentAt) and subclasses like TextMessage, ImageMessage (Url, Width, Height) and FileMessage (Url, Size, Name). Rendering or validation logic lives in polymorphic methods or a visitor, so adding VideoMessage does not touch existing code (Open/Closed). A MessageFactory creates the right type from an incoming DTO. Persist with a discriminator column or store content as JSON with a Type field.</t>
        </is>
      </c>
      <c r="G552" s="13" t="inlineStr"/>
    </row>
    <row r="553">
      <c r="A553" s="13" t="n">
        <v>46</v>
      </c>
      <c r="B553" s="24" t="n">
        <v>46338</v>
      </c>
      <c r="C553" s="13" t="inlineStr">
        <is>
          <t>LLD</t>
        </is>
      </c>
      <c r="D553" s="17" t="inlineStr">
        <is>
          <t>Advanced</t>
        </is>
      </c>
      <c r="E553" s="13" t="inlineStr">
        <is>
          <t>How do you make ChatRoom thread-safe when many users post and join concurrently?</t>
        </is>
      </c>
      <c r="F553" s="13" t="inlineStr">
        <is>
          <t>Guard the member list and the message list with a lock, or use ConcurrentDictionary for members and assign sequence numbers with Interlocked.Increment so ordering is consistent. Never call observers while holding the lock: copy the observer list inside the lock, then notify outside it to avoid deadlocks and slow consumers blocking the room. For heavy load, push messages into a Channel&lt;T&gt; per room and have one consumer dispatch them, which serializes ordering without locks.</t>
        </is>
      </c>
      <c r="G553" s="13" t="inlineStr"/>
    </row>
    <row r="554">
      <c r="A554" s="13" t="n">
        <v>47</v>
      </c>
      <c r="B554" s="24" t="n">
        <v>46339</v>
      </c>
      <c r="C554" s="13" t="inlineStr">
        <is>
          <t>HLD</t>
        </is>
      </c>
      <c r="D554" s="18" t="inlineStr">
        <is>
          <t>Basic</t>
        </is>
      </c>
      <c r="E554" s="13" t="inlineStr">
        <is>
          <t>What is back-of-envelope estimation and why do interviewers ask for it?</t>
        </is>
      </c>
      <c r="F554" s="13" t="inlineStr">
        <is>
          <t>It is a quick approximate calculation of load, storage, bandwidth and servers using round numbers. It shows you can size a system before designing it, and it drives decisions such as whether one database is enough, whether you need caching, or whether data must be sharded. Interviewers care about clear assumptions and order of magnitude, not exact arithmetic.</t>
        </is>
      </c>
      <c r="G554" s="13" t="inlineStr"/>
    </row>
    <row r="555">
      <c r="A555" s="13" t="n">
        <v>47</v>
      </c>
      <c r="B555" s="24" t="n">
        <v>46339</v>
      </c>
      <c r="C555" s="13" t="inlineStr">
        <is>
          <t>HLD</t>
        </is>
      </c>
      <c r="D555" s="18" t="inlineStr">
        <is>
          <t>Basic</t>
        </is>
      </c>
      <c r="E555" s="13" t="inlineStr">
        <is>
          <t>What numbers and shortcuts should you memorise for estimation?</t>
        </is>
      </c>
      <c r="F555" s="13" t="inlineStr">
        <is>
          <t>- 1 day is about 86,400 seconds, round to 100k.
- 1 million requests/day is about 12 QPS; 100M/day is about 1,000-1,200 QPS.
- Powers of two: 1 KB = 10^3, 1 MB = 10^6, 1 GB = 10^9, 1 TB = 10^12 bytes.
- Latency: memory ~100 ns, SSD read ~100 us, same-datacenter round trip ~0.5 ms, cross-continent ~150 ms.
- Peak traffic is usually 2-3x average.</t>
        </is>
      </c>
      <c r="G555" s="13" t="inlineStr"/>
    </row>
    <row r="556">
      <c r="A556" s="13" t="n">
        <v>47</v>
      </c>
      <c r="B556" s="24" t="n">
        <v>46339</v>
      </c>
      <c r="C556" s="13" t="inlineStr">
        <is>
          <t>HLD</t>
        </is>
      </c>
      <c r="D556" s="16" t="inlineStr">
        <is>
          <t>Intermediate</t>
        </is>
      </c>
      <c r="E556" s="13" t="inlineStr">
        <is>
          <t>Walk through estimating QPS for a service with 50 million daily active users.</t>
        </is>
      </c>
      <c r="F556" s="13" t="inlineStr">
        <is>
          <t>Assume each DAU makes 20 requests a day: 50M x 20 = 1 billion requests/day. Divide by 100k seconds: about 10,000 QPS average. Apply a 3x peak factor: about 30,000 QPS peak. If reads to writes are 10:1, that is roughly 27k read QPS and 3k write QPS, which tells you reads need caching and replicas while writes may fit a single well-tuned primary or a few shards.</t>
        </is>
      </c>
      <c r="G556" s="13" t="inlineStr"/>
    </row>
    <row r="557">
      <c r="A557" s="13" t="n">
        <v>47</v>
      </c>
      <c r="B557" s="24" t="n">
        <v>46339</v>
      </c>
      <c r="C557" s="13" t="inlineStr">
        <is>
          <t>HLD</t>
        </is>
      </c>
      <c r="D557" s="16" t="inlineStr">
        <is>
          <t>Intermediate</t>
        </is>
      </c>
      <c r="E557" s="13" t="inlineStr">
        <is>
          <t>How do you estimate storage for five years?</t>
        </is>
      </c>
      <c r="F557" s="13" t="inlineStr">
        <is>
          <t>Storage = writes per day x size per record x retention, then multiply by replication factor. Example: 10M new posts/day x 1 KB = 10 GB/day; x 365 x 5 is about 18 TB; x 3 replicas is about 55 TB, plus index overhead of roughly 20-30%. Separate media (images, videos) from metadata because media lives in object storage and dominates size. State whether the result fits a single node (a few TB) or requires sharding.</t>
        </is>
      </c>
      <c r="G557" s="13" t="inlineStr"/>
    </row>
    <row r="558">
      <c r="A558" s="13" t="n">
        <v>47</v>
      </c>
      <c r="B558" s="24" t="n">
        <v>46339</v>
      </c>
      <c r="C558" s="13" t="inlineStr">
        <is>
          <t>HLD</t>
        </is>
      </c>
      <c r="D558" s="17" t="inlineStr">
        <is>
          <t>Advanced</t>
        </is>
      </c>
      <c r="E558" s="13" t="inlineStr">
        <is>
          <t>How do you go from QPS to the number of servers needed?</t>
        </is>
      </c>
      <c r="F558" s="13" t="inlineStr">
        <is>
          <t>Estimate per-server throughput from latency and concurrency: if a request takes 50 ms of work and a server runs about 200 concurrent requests, it handles about 4,000 QPS; in practice benchmark or assume 1k-5k QPS for a typical API node. Servers = peak QPS / per-server QPS, then add 30-50% headroom and N+1 for failures. Example: 30k peak / 2k per node = 15, round to 20 across multiple zones. Also check the database and cache tiers separately because they are usually the real bottleneck.</t>
        </is>
      </c>
      <c r="G558" s="13" t="inlineStr"/>
    </row>
    <row r="559">
      <c r="A559" s="13" t="n">
        <v>47</v>
      </c>
      <c r="B559" s="24" t="n">
        <v>46339</v>
      </c>
      <c r="C559" s="13" t="inlineStr">
        <is>
          <t>HLD</t>
        </is>
      </c>
      <c r="D559" s="17" t="inlineStr">
        <is>
          <t>Advanced</t>
        </is>
      </c>
      <c r="E559" s="13" t="inlineStr">
        <is>
          <t>What common mistakes do candidates make in estimation, and how do you sanity-check your numbers?</t>
        </is>
      </c>
      <c r="F559" s="13" t="inlineStr">
        <is>
          <t>- Confusing bits and bytes in bandwidth, or MB and GB.
- Forgetting peak versus average, replication, or indexes.
- Spending five minutes on arithmetic instead of rounding.
- Not stating assumptions (DAU, requests per user, object size).
Sanity-check by comparing with known systems (a single Postgres primary handles a few thousand writes/sec; one Redis node ~100k ops/sec) and by checking whether the result changes the design; if not, move on.</t>
        </is>
      </c>
      <c r="G559" s="13" t="inlineStr"/>
    </row>
    <row r="560">
      <c r="A560" s="13" t="n">
        <v>47</v>
      </c>
      <c r="B560" s="24" t="n">
        <v>46339</v>
      </c>
      <c r="C560" s="13" t="inlineStr">
        <is>
          <t>LLD</t>
        </is>
      </c>
      <c r="D560" s="18" t="inlineStr">
        <is>
          <t>Basic</t>
        </is>
      </c>
      <c r="E560" s="13" t="inlineStr">
        <is>
          <t>What are the main entities in a Splitwise LLD?</t>
        </is>
      </c>
      <c r="F560" s="13" t="inlineStr">
        <is>
          <t>- User: Id, Name, Email.
- Group: Id, Name, members, expenses.
- Expense: Id, PaidBy, Amount, Description, list of Splits, SplitType.
- Split: User and Amount (plus Percent or Shares depending on type).
- BalanceSheet or Ledger: who owes whom.
- ExpenseService: addExpense, getBalances, settleUp.</t>
        </is>
      </c>
      <c r="G560" s="13" t="inlineStr"/>
    </row>
    <row r="561">
      <c r="A561" s="13" t="n">
        <v>47</v>
      </c>
      <c r="B561" s="24" t="n">
        <v>46339</v>
      </c>
      <c r="C561" s="13" t="inlineStr">
        <is>
          <t>LLD</t>
        </is>
      </c>
      <c r="D561" s="18" t="inlineStr">
        <is>
          <t>Basic</t>
        </is>
      </c>
      <c r="E561" s="13" t="inlineStr">
        <is>
          <t>What split types does Splitwise support and how would you model them?</t>
        </is>
      </c>
      <c r="F561" s="13" t="inlineStr">
        <is>
          <t>Equal, Exact (fixed amounts) and Percentage, and sometimes Shares. Model Split as an abstract class with EqualSplit, ExactSplit and PercentSplit subclasses, or keep one Split class and let a split strategy compute amounts. Each type needs its own validation: exact splits must sum to the total, percentages must sum to 100. The choice of split type should not change how balances are updated afterwards.</t>
        </is>
      </c>
      <c r="G561" s="13" t="inlineStr"/>
    </row>
    <row r="562">
      <c r="A562" s="13" t="n">
        <v>47</v>
      </c>
      <c r="B562" s="24" t="n">
        <v>46339</v>
      </c>
      <c r="C562" s="13" t="inlineStr">
        <is>
          <t>LLD</t>
        </is>
      </c>
      <c r="D562" s="16" t="inlineStr">
        <is>
          <t>Intermediate</t>
        </is>
      </c>
      <c r="E562" s="13" t="inlineStr">
        <is>
          <t>How would you apply the Strategy pattern to expense splitting?</t>
        </is>
      </c>
      <c r="F562" s="13" t="inlineStr">
        <is>
          <t>Define an ISplitStrategy that validates input and returns the amount per user; ExpenseService picks a strategy by SplitType, so new types are added without changing the service.
```csharp
public interface ISplitStrategy {
    Dictionary&lt;string, decimal&gt; Split(decimal total, IReadOnlyList&lt;SplitInput&gt; inputs);
}
public class PercentSplit : ISplitStrategy {
    public Dictionary&lt;string, decimal&gt; Split(decimal total, IReadOnlyList&lt;SplitInput&gt; inputs) {
        if (inputs.Sum(i =&gt; i.Value) != 100m) throw new ArgumentException("Must total 100%");
        return inputs.ToDictionary(i =&gt; i.UserId, i =&gt; Math.Round(total * i.Value / 100m, 2));
    }
}
```</t>
        </is>
      </c>
      <c r="G562" s="13" t="inlineStr"/>
    </row>
    <row r="563">
      <c r="A563" s="13" t="n">
        <v>47</v>
      </c>
      <c r="B563" s="24" t="n">
        <v>46339</v>
      </c>
      <c r="C563" s="13" t="inlineStr">
        <is>
          <t>LLD</t>
        </is>
      </c>
      <c r="D563" s="16" t="inlineStr">
        <is>
          <t>Intermediate</t>
        </is>
      </c>
      <c r="E563" s="13" t="inlineStr">
        <is>
          <t>How do you represent balances between users?</t>
        </is>
      </c>
      <c r="F563" s="13" t="inlineStr">
        <is>
          <t>Store a nested map balances[userA][userB] = amount, where a positive value means B owes A, and keep it antisymmetric (balances[B][A] = -amount). When A pays 300 split equally among A, B and C, add 100 to balances[A][B] and balances[A][C] and subtract the mirror entries. Alternatively store only a net balance per user per group, which is enough for simplification. Always use decimal, never double, for money.</t>
        </is>
      </c>
      <c r="G563" s="13" t="inlineStr"/>
    </row>
    <row r="564">
      <c r="A564" s="13" t="n">
        <v>47</v>
      </c>
      <c r="B564" s="24" t="n">
        <v>46339</v>
      </c>
      <c r="C564" s="13" t="inlineStr">
        <is>
          <t>LLD</t>
        </is>
      </c>
      <c r="D564" s="17" t="inlineStr">
        <is>
          <t>Advanced</t>
        </is>
      </c>
      <c r="E564" s="13" t="inlineStr">
        <is>
          <t>How do you handle rounding when 100 is split equally among 3 people?</t>
        </is>
      </c>
      <c r="F564" s="13" t="inlineStr">
        <is>
          <t>Compute the base share with rounding down to 2 decimals (33.33), then assign the leftover cents (0.01) deterministically, for example to the payer or the first participant. This guarantees the splits always sum exactly to the total, which you should assert in validation. Use decimal and MidpointRounding explicitly, and keep amounts in the smallest unit (paise) if the system is sensitive to accuracy.</t>
        </is>
      </c>
      <c r="G564" s="13" t="inlineStr"/>
    </row>
    <row r="565">
      <c r="A565" s="13" t="n">
        <v>47</v>
      </c>
      <c r="B565" s="24" t="n">
        <v>46339</v>
      </c>
      <c r="C565" s="13" t="inlineStr">
        <is>
          <t>LLD</t>
        </is>
      </c>
      <c r="D565" s="17" t="inlineStr">
        <is>
          <t>Advanced</t>
        </is>
      </c>
      <c r="E565" s="13" t="inlineStr">
        <is>
          <t>Should Expense be mutable, and how would you design edits and deletes?</t>
        </is>
      </c>
      <c r="F565" s="13" t="inlineStr">
        <is>
          <t>Treat expenses as immutable ledger entries: editing an expense is modelled as reversing the old one and applying a new one, and deleting is a reversal. This keeps balances auditable and makes it easy to recompute balances from history if the cached balance sheet is wrong. Expose only constructors and methods on Expense, not public setters, and keep an ExpenseHistory or version number for concurrent edits by different group members.</t>
        </is>
      </c>
      <c r="G565" s="13" t="inlineStr"/>
    </row>
    <row r="566">
      <c r="A566" s="13" t="n">
        <v>48</v>
      </c>
      <c r="B566" s="24" t="n">
        <v>46340</v>
      </c>
      <c r="C566" s="13" t="inlineStr">
        <is>
          <t>HLD</t>
        </is>
      </c>
      <c r="D566" s="18" t="inlineStr">
        <is>
          <t>Basic</t>
        </is>
      </c>
      <c r="E566" s="13" t="inlineStr">
        <is>
          <t>What are the functional and non-functional requirements for a basic chat app like WhatsApp?</t>
        </is>
      </c>
      <c r="F566" s="13" t="inlineStr">
        <is>
          <t>Functional: 1:1 chat, group chat (up to a few hundred members), sent/delivered/read receipts, online status and message history. Non-functional: low latency (under ~200 ms delivery), high availability, messages never lost, per-conversation ordering and support for offline users. Clarify scale early, for example 100M DAU and 50 messages per user per day, which is about 60k messages/sec at peak.</t>
        </is>
      </c>
      <c r="G566" s="13" t="inlineStr"/>
    </row>
    <row r="567">
      <c r="A567" s="13" t="n">
        <v>48</v>
      </c>
      <c r="B567" s="24" t="n">
        <v>46340</v>
      </c>
      <c r="C567" s="13" t="inlineStr">
        <is>
          <t>HLD</t>
        </is>
      </c>
      <c r="D567" s="18" t="inlineStr">
        <is>
          <t>Basic</t>
        </is>
      </c>
      <c r="E567" s="13" t="inlineStr">
        <is>
          <t>What does the high-level architecture of a chat system look like?</t>
        </is>
      </c>
      <c r="F567" s="13" t="inlineStr">
        <is>
          <t>- Clients connect via WebSockets to chat (gateway) servers behind a load balancer.
- A session service in Redis maps userId to gateway server.
- A message service assigns IDs, persists to a message store and routes to recipients through a queue or pub/sub.
- Offline recipients get a push notification via APNs/FCM.
- Separate services for groups, presence and media (object storage + CDN).</t>
        </is>
      </c>
      <c r="G567" s="13" t="inlineStr"/>
    </row>
    <row r="568">
      <c r="A568" s="13" t="n">
        <v>48</v>
      </c>
      <c r="B568" s="24" t="n">
        <v>46340</v>
      </c>
      <c r="C568" s="13" t="inlineStr">
        <is>
          <t>HLD</t>
        </is>
      </c>
      <c r="D568" s="16" t="inlineStr">
        <is>
          <t>Intermediate</t>
        </is>
      </c>
      <c r="E568" s="13" t="inlineStr">
        <is>
          <t>Which database would you use for the message store and how would you key it?</t>
        </is>
      </c>
      <c r="F568" s="13" t="inlineStr">
        <is>
          <t>A wide-column store like Cassandra or ScyllaDB (or HBase) suits the heavy write rate and time-ordered reads. Partition by conversation_id and cluster by message_id descending, so fetching the latest 50 messages of a chat is one partition read. Use time-sortable IDs such as Snowflake so ordering does not rely on clocks of different clients. Very large or old conversations can be bucketed by conversation_id plus month to avoid huge partitions.</t>
        </is>
      </c>
      <c r="G568" s="13" t="inlineStr"/>
    </row>
    <row r="569">
      <c r="A569" s="13" t="n">
        <v>48</v>
      </c>
      <c r="B569" s="24" t="n">
        <v>46340</v>
      </c>
      <c r="C569" s="13" t="inlineStr">
        <is>
          <t>HLD</t>
        </is>
      </c>
      <c r="D569" s="16" t="inlineStr">
        <is>
          <t>Intermediate</t>
        </is>
      </c>
      <c r="E569" s="13" t="inlineStr">
        <is>
          <t>How do delivery and read receipts work end to end?</t>
        </is>
      </c>
      <c r="F569" s="13" t="inlineStr">
        <is>
          <t>The sender gets a 'sent' tick once the server durably stores the message and acks the client. When the recipient's device receives it, the device sends a delivered ack; the server updates the status and forwards the receipt to the sender. Opening the chat sends a read ack carrying the latest read message ID, so one ack marks everything before it as read. For groups, store per-member receipts and show read only when all members have read.</t>
        </is>
      </c>
      <c r="G569" s="13" t="inlineStr"/>
    </row>
    <row r="570">
      <c r="A570" s="13" t="n">
        <v>48</v>
      </c>
      <c r="B570" s="24" t="n">
        <v>46340</v>
      </c>
      <c r="C570" s="13" t="inlineStr">
        <is>
          <t>HLD</t>
        </is>
      </c>
      <c r="D570" s="17" t="inlineStr">
        <is>
          <t>Advanced</t>
        </is>
      </c>
      <c r="E570" s="13" t="inlineStr">
        <is>
          <t>Fan-out on write vs fan-out on read for group messages - which do you choose?</t>
        </is>
      </c>
      <c r="F570" s="13" t="inlineStr">
        <is>
          <t>For small and medium groups, fan-out on write: when a message arrives, look up members and push it to each member's gateway or inbox queue, which keeps reads cheap and delivery fast. For very large groups or channels (thousands of members), fan-out on read is cheaper: store the message once and members pull on open, with pushes only to online members. Many systems use a hybrid with a member-count threshold. The message body is stored once either way; only references or deliveries are fanned out.</t>
        </is>
      </c>
      <c r="G570" s="13" t="inlineStr"/>
    </row>
    <row r="571">
      <c r="A571" s="13" t="n">
        <v>48</v>
      </c>
      <c r="B571" s="24" t="n">
        <v>46340</v>
      </c>
      <c r="C571" s="13" t="inlineStr">
        <is>
          <t>HLD</t>
        </is>
      </c>
      <c r="D571" s="17" t="inlineStr">
        <is>
          <t>Advanced</t>
        </is>
      </c>
      <c r="E571" s="13" t="inlineStr">
        <is>
          <t>How do you guarantee message ordering and no message loss?</t>
        </is>
      </c>
      <c r="F571" s="13" t="inlineStr">
        <is>
          <t>Assign a per-conversation sequence number at the server (for example via the partition leader or a counter in Redis) and have clients order by it rather than by device timestamps. The client keeps an unacked outbox and retries with the same client message ID, and the server dedupes on it, so retries do not create duplicates. Persist before acking the sender and before fan-out. On reconnect, clients sync from their last known sequence number to fill any gaps.</t>
        </is>
      </c>
      <c r="G571" s="13" t="inlineStr"/>
    </row>
    <row r="572">
      <c r="A572" s="13" t="n">
        <v>48</v>
      </c>
      <c r="B572" s="24" t="n">
        <v>46340</v>
      </c>
      <c r="C572" s="13" t="inlineStr">
        <is>
          <t>LLD</t>
        </is>
      </c>
      <c r="D572" s="18" t="inlineStr">
        <is>
          <t>Basic</t>
        </is>
      </c>
      <c r="E572" s="13" t="inlineStr">
        <is>
          <t>How do you settle up in Splitwise and update balances?</t>
        </is>
      </c>
      <c r="F572" s="13" t="inlineStr">
        <is>
          <t>A settle-up is recorded as a special payment (or an Expense with type Payment) from the debtor to the creditor. It updates balances with the opposite sign to an expense: if B pays A 100, balances[A][B] decreases by 100. Validate that the payment does not exceed what is owed unless partial or over-payment is allowed. Keeping it as a ledger entry keeps history consistent.</t>
        </is>
      </c>
      <c r="G572" s="13" t="inlineStr"/>
    </row>
    <row r="573">
      <c r="A573" s="13" t="n">
        <v>48</v>
      </c>
      <c r="B573" s="24" t="n">
        <v>46340</v>
      </c>
      <c r="C573" s="13" t="inlineStr">
        <is>
          <t>LLD</t>
        </is>
      </c>
      <c r="D573" s="18" t="inlineStr">
        <is>
          <t>Basic</t>
        </is>
      </c>
      <c r="E573" s="13" t="inlineStr">
        <is>
          <t>How would you structure the full Splitwise implementation into classes and services?</t>
        </is>
      </c>
      <c r="F573" s="13" t="inlineStr">
        <is>
          <t>- Models: User, Group, Expense, Split, Payment.
- Strategies: ISplitStrategy implementations per split type, chosen via a factory.
- BalanceSheet: owns the balance map and applies expenses and payments.
- ExpenseService: validates input, builds splits, persists, updates the balance sheet.
- Repositories behind interfaces so storage can be swapped and unit tested.
Controllers only call services; no business logic in models' setters.</t>
        </is>
      </c>
      <c r="G573" s="13" t="inlineStr"/>
    </row>
    <row r="574">
      <c r="A574" s="13" t="n">
        <v>48</v>
      </c>
      <c r="B574" s="24" t="n">
        <v>46340</v>
      </c>
      <c r="C574" s="13" t="inlineStr">
        <is>
          <t>LLD</t>
        </is>
      </c>
      <c r="D574" s="16" t="inlineStr">
        <is>
          <t>Intermediate</t>
        </is>
      </c>
      <c r="E574" s="13" t="inlineStr">
        <is>
          <t>How does the debt simplification (minimise transactions) algorithm work?</t>
        </is>
      </c>
      <c r="F574" s="13" t="inlineStr">
        <is>
          <t>Compute each user's net balance (total paid minus total owed). Put creditors in a max-heap and debtors in a max-heap by absolute amount. Repeatedly match the largest debtor with the largest creditor, settle the minimum of the two amounts, and push back whoever still has a remainder. This greedy approach produces at most n-1 transactions; finding the true minimum is NP-hard, so greedy is the accepted interview answer.</t>
        </is>
      </c>
      <c r="G574" s="13" t="inlineStr"/>
    </row>
    <row r="575">
      <c r="A575" s="13" t="n">
        <v>48</v>
      </c>
      <c r="B575" s="24" t="n">
        <v>46340</v>
      </c>
      <c r="C575" s="13" t="inlineStr">
        <is>
          <t>LLD</t>
        </is>
      </c>
      <c r="D575" s="16" t="inlineStr">
        <is>
          <t>Intermediate</t>
        </is>
      </c>
      <c r="E575" s="13" t="inlineStr">
        <is>
          <t>Show how you would compute net balances per user in C#.</t>
        </is>
      </c>
      <c r="F575" s="13" t="inlineStr">
        <is>
          <t>Net balance is what a user paid minus their share of every expense; positive means they should receive money.
```csharp
public Dictionary&lt;string, decimal&gt; NetBalances(IEnumerable&lt;Expense&gt; expenses) {
    var net = new Dictionary&lt;string, decimal&gt;();
    foreach (var e in expenses) {
        net[e.PaidBy] = net.GetValueOrDefault(e.PaidBy) + e.Amount;
        foreach (var s in e.Splits)
            net[s.UserId] = net.GetValueOrDefault(s.UserId) - s.Amount;
    }
    return net;
}
```</t>
        </is>
      </c>
      <c r="G575" s="13" t="inlineStr"/>
    </row>
    <row r="576">
      <c r="A576" s="13" t="n">
        <v>48</v>
      </c>
      <c r="B576" s="24" t="n">
        <v>46340</v>
      </c>
      <c r="C576" s="13" t="inlineStr">
        <is>
          <t>LLD</t>
        </is>
      </c>
      <c r="D576" s="17" t="inlineStr">
        <is>
          <t>Advanced</t>
        </is>
      </c>
      <c r="E576" s="13" t="inlineStr">
        <is>
          <t>How would you make addExpense safe when two members add expenses to the same group at once?</t>
        </is>
      </c>
      <c r="F576" s="13" t="inlineStr">
        <is>
          <t>The race is on the balance sheet, not on inserting expenses. Options: lock per group (a SemaphoreSlim per group ID in memory, or a database row lock on the group), use optimistic concurrency with a version column on the group balance row and retry on conflict, or avoid a mutable balance entirely and compute balances from the append-only expense ledger. In a DB-backed design, insert the expense and update balances in one transaction.</t>
        </is>
      </c>
      <c r="G576" s="13" t="inlineStr"/>
    </row>
    <row r="577">
      <c r="A577" s="13" t="n">
        <v>48</v>
      </c>
      <c r="B577" s="24" t="n">
        <v>46340</v>
      </c>
      <c r="C577" s="13" t="inlineStr">
        <is>
          <t>LLD</t>
        </is>
      </c>
      <c r="D577" s="17" t="inlineStr">
        <is>
          <t>Advanced</t>
        </is>
      </c>
      <c r="E577" s="13" t="inlineStr">
        <is>
          <t>How would you unit test the Splitwise implementation?</t>
        </is>
      </c>
      <c r="F577" s="13" t="inlineStr">
        <is>
          <t>Test each split strategy in isolation for valid splits, invalid totals and rounding (100 across 3 users must sum to exactly 100). Test BalanceSheet by applying known expenses and payments and asserting the resulting map and antisymmetry. Test simplification with cases where the number of transactions is known and assert all net balances reach zero. Mock repositories with interfaces so ExpenseService tests do not hit a database, and keep money assertions exact with decimal.</t>
        </is>
      </c>
      <c r="G577" s="13" t="inlineStr"/>
    </row>
    <row r="578">
      <c r="A578" s="13" t="n">
        <v>49</v>
      </c>
      <c r="B578" s="24" t="n">
        <v>46341</v>
      </c>
      <c r="C578" s="13" t="inlineStr">
        <is>
          <t>HLD</t>
        </is>
      </c>
      <c r="D578" s="18" t="inlineStr">
        <is>
          <t>Basic</t>
        </is>
      </c>
      <c r="E578" s="13" t="inlineStr">
        <is>
          <t>Rapid fire: how does typeahead return top suggestions quickly?</t>
        </is>
      </c>
      <c r="F578" s="13" t="inlineStr">
        <is>
          <t>Store queries in a trie and cache the top-K suggestions at each prefix node, so a lookup is O(prefix length) with no subtree traversal. Rankings are rebuilt offline from query logs (for example hourly) and the trie is served from memory, sharded by prefix. Clients debounce keystrokes and cache results, and a CDN or browser cache handles popular prefixes.</t>
        </is>
      </c>
      <c r="G578" s="13" t="inlineStr"/>
    </row>
    <row r="579">
      <c r="A579" s="13" t="n">
        <v>49</v>
      </c>
      <c r="B579" s="24" t="n">
        <v>46341</v>
      </c>
      <c r="C579" s="13" t="inlineStr">
        <is>
          <t>HLD</t>
        </is>
      </c>
      <c r="D579" s="18" t="inlineStr">
        <is>
          <t>Basic</t>
        </is>
      </c>
      <c r="E579" s="13" t="inlineStr">
        <is>
          <t>Rapid fire: offset vs cursor pagination - when do you use each?</t>
        </is>
      </c>
      <c r="F579" s="13" t="inlineStr">
        <is>
          <t>Offset (LIMIT 20 OFFSET 10000) is simple and supports jumping to page N, but the database still scans skipped rows and results shift when rows are inserted. Cursor (keyset) pagination uses WHERE id &lt; lastSeenId ORDER BY id DESC LIMIT 20, which uses the index, is stable and fast at any depth. Use offset for small admin tables and cursor for feeds, infinite scroll and large APIs, returning an opaque next-cursor token.</t>
        </is>
      </c>
      <c r="G579" s="13" t="inlineStr"/>
    </row>
    <row r="580">
      <c r="A580" s="13" t="n">
        <v>49</v>
      </c>
      <c r="B580" s="24" t="n">
        <v>46341</v>
      </c>
      <c r="C580" s="13" t="inlineStr">
        <is>
          <t>HLD</t>
        </is>
      </c>
      <c r="D580" s="16" t="inlineStr">
        <is>
          <t>Intermediate</t>
        </is>
      </c>
      <c r="E580" s="13" t="inlineStr">
        <is>
          <t>Rapid fire: optimistic vs pessimistic locking - how do you choose?</t>
        </is>
      </c>
      <c r="F580" s="13" t="inlineStr">
        <is>
          <t>Optimistic locking reads a version, then updates WHERE version = @v; if zero rows are affected, someone else won and you retry or fail. It suits low contention (profile edits, most CRUD); in EF Core use a rowversion concurrency token. Pessimistic locking (SELECT ... FOR UPDATE or UPDLOCK) locks first and suits high contention on hot rows like inventory or seats, at the cost of blocking and deadlock risk.</t>
        </is>
      </c>
      <c r="G580" s="13" t="inlineStr"/>
    </row>
    <row r="581">
      <c r="A581" s="13" t="n">
        <v>49</v>
      </c>
      <c r="B581" s="24" t="n">
        <v>46341</v>
      </c>
      <c r="C581" s="13" t="inlineStr">
        <is>
          <t>HLD</t>
        </is>
      </c>
      <c r="D581" s="16" t="inlineStr">
        <is>
          <t>Intermediate</t>
        </is>
      </c>
      <c r="E581" s="13" t="inlineStr">
        <is>
          <t>Rapid fire: how does a Redis distributed lock work and what are its pitfalls?</t>
        </is>
      </c>
      <c r="F581" s="13" t="inlineStr">
        <is>
          <t>Acquire with SET lock:key uniqueToken NX PX 30000; release with a Lua script that deletes only if the value still matches your token. Pitfalls: a GC pause or slow process can outlive the TTL so two holders exist, and Redis failover can lose the lock. Mitigate with fencing tokens (a monotonically increasing number checked by the resource) and keep critical sections short or renew the lease.</t>
        </is>
      </c>
      <c r="G581" s="13" t="inlineStr"/>
    </row>
    <row r="582">
      <c r="A582" s="13" t="n">
        <v>49</v>
      </c>
      <c r="B582" s="24" t="n">
        <v>46341</v>
      </c>
      <c r="C582" s="13" t="inlineStr">
        <is>
          <t>HLD</t>
        </is>
      </c>
      <c r="D582" s="17" t="inlineStr">
        <is>
          <t>Advanced</t>
        </is>
      </c>
      <c r="E582" s="13" t="inlineStr">
        <is>
          <t>Rapid fire: long polling vs WebSockets vs SSE for a live system - summarise the trade-offs.</t>
        </is>
      </c>
      <c r="F582" s="13" t="inlineStr">
        <is>
          <t>- Long polling: works everywhere over HTTP, but one request per message and extra latency.
- SSE: simple server push over HTTP with auto-reconnect, one-way only.
- WebSockets: full duplex and lowest overhead, but stateful connections need a pub/sub backbone, heartbeats and careful deploys.
Chat and games use WebSockets; notifications and feeds often use SSE.</t>
        </is>
      </c>
      <c r="G582" s="13" t="inlineStr"/>
    </row>
    <row r="583">
      <c r="A583" s="13" t="n">
        <v>49</v>
      </c>
      <c r="B583" s="24" t="n">
        <v>46341</v>
      </c>
      <c r="C583" s="13" t="inlineStr">
        <is>
          <t>HLD</t>
        </is>
      </c>
      <c r="D583" s="17" t="inlineStr">
        <is>
          <t>Advanced</t>
        </is>
      </c>
      <c r="E583" s="13" t="inlineStr">
        <is>
          <t>Rapid fire: in BookMyShow-style seat booking, how do the concurrency and real-time pieces fit together?</t>
        </is>
      </c>
      <c r="F583" s="13" t="inlineStr">
        <is>
          <t>When a user selects seats, hold them with a short TTL lock (a Redis key per seat or a HELD status with expiry in the DB) so others cannot select them. Payment happens within the hold window; on success the booking is confirmed with an optimistic or conditional update (status HELD -&gt; BOOKED where holder = user). Expired holds are released by TTL or a sweeper. Seat maps update live for other users via WebSocket or SSE pushes, but the database constraint remains the final guard against double booking.</t>
        </is>
      </c>
      <c r="G583" s="13" t="inlineStr"/>
    </row>
    <row r="584">
      <c r="A584" s="13" t="n">
        <v>49</v>
      </c>
      <c r="B584" s="24" t="n">
        <v>46341</v>
      </c>
      <c r="C584" s="13" t="inlineStr">
        <is>
          <t>LLD</t>
        </is>
      </c>
      <c r="D584" s="18" t="inlineStr">
        <is>
          <t>Basic</t>
        </is>
      </c>
      <c r="E584" s="13" t="inlineStr">
        <is>
          <t>Rapid fire: what does a TrieNode contain and what is the complexity of insert and search?</t>
        </is>
      </c>
      <c r="F584" s="13" t="inlineStr">
        <is>
          <t>A TrieNode holds a map of children (Dictionary&lt;char, TrieNode&gt; or a fixed array of 26), an IsEndOfWord flag and optionally a frequency or top-K list. Insert and search are O(L) where L is the word length, independent of how many words are stored. Prefix search is O(L) to reach the node plus the cost of collecting results from its subtree.</t>
        </is>
      </c>
      <c r="G584" s="13" t="inlineStr"/>
    </row>
    <row r="585">
      <c r="A585" s="13" t="n">
        <v>49</v>
      </c>
      <c r="B585" s="24" t="n">
        <v>46341</v>
      </c>
      <c r="C585" s="13" t="inlineStr">
        <is>
          <t>LLD</t>
        </is>
      </c>
      <c r="D585" s="18" t="inlineStr">
        <is>
          <t>Basic</t>
        </is>
      </c>
      <c r="E585" s="13" t="inlineStr">
        <is>
          <t>Rapid fire: what are the key entities in BookMyShow?</t>
        </is>
      </c>
      <c r="F585" s="13" t="inlineStr">
        <is>
          <t>City, Theatre, Screen, Seat (row, number, type), Movie, Show (movie + screen + start time), ShowSeat (seat status per show: Available, Held, Booked), Booking, Payment and User. The key insight is that seat availability belongs to ShowSeat, not Seat, because the same physical seat is booked separately for every show.</t>
        </is>
      </c>
      <c r="G585" s="13" t="inlineStr"/>
    </row>
    <row r="586">
      <c r="A586" s="13" t="n">
        <v>49</v>
      </c>
      <c r="B586" s="24" t="n">
        <v>46341</v>
      </c>
      <c r="C586" s="13" t="inlineStr">
        <is>
          <t>LLD</t>
        </is>
      </c>
      <c r="D586" s="16" t="inlineStr">
        <is>
          <t>Intermediate</t>
        </is>
      </c>
      <c r="E586" s="13" t="inlineStr">
        <is>
          <t>Rapid fire: how does the chat LLD use the Observer pattern and what is Message status modelled as?</t>
        </is>
      </c>
      <c r="F586" s="13" t="inlineStr">
        <is>
          <t>ChatRoom is the subject and connected user sessions are observers notified when a message is posted. Message status is per recipient in groups (a receipt entity with delivered and read timestamps), and transitions only move forward. Different content types are subclasses or a type field handled polymorphically.</t>
        </is>
      </c>
      <c r="G586" s="13" t="inlineStr"/>
    </row>
    <row r="587">
      <c r="A587" s="13" t="n">
        <v>49</v>
      </c>
      <c r="B587" s="24" t="n">
        <v>46341</v>
      </c>
      <c r="C587" s="13" t="inlineStr">
        <is>
          <t>LLD</t>
        </is>
      </c>
      <c r="D587" s="16" t="inlineStr">
        <is>
          <t>Intermediate</t>
        </is>
      </c>
      <c r="E587" s="13" t="inlineStr">
        <is>
          <t>Rapid fire: which design patterns appear in Splitwise and why?</t>
        </is>
      </c>
      <c r="F587" s="13" t="inlineStr">
        <is>
          <t>Strategy for split types (equal, exact, percent) so new types do not change ExpenseService; Factory to pick the strategy from SplitType; Repository to abstract persistence; and optionally Observer to notify users when an expense is added. Balances live in a BalanceSheet class, and the simplification uses a greedy heap-based algorithm.</t>
        </is>
      </c>
      <c r="G587" s="13" t="inlineStr"/>
    </row>
    <row r="588">
      <c r="A588" s="13" t="n">
        <v>49</v>
      </c>
      <c r="B588" s="24" t="n">
        <v>46341</v>
      </c>
      <c r="C588" s="13" t="inlineStr">
        <is>
          <t>LLD</t>
        </is>
      </c>
      <c r="D588" s="17" t="inlineStr">
        <is>
          <t>Advanced</t>
        </is>
      </c>
      <c r="E588" s="13" t="inlineStr">
        <is>
          <t>Rapid fire: how do you implement seat locking in C# for the BookMyShow LLD?</t>
        </is>
      </c>
      <c r="F588" s="13" t="inlineStr">
        <is>
          <t>Hold seats atomically so either all requested seats are held or none are, with an expiry time.
```csharp
private readonly object _gate = new();
public bool TryHold(Show show, IList&lt;string&gt; seatIds, string userId) {
    lock (_gate) {
        var seats = seatIds.Select(id =&gt; show.Seats[id]).ToList();
        if (seats.Any(s =&gt; !s.IsAvailable(DateTime.UtcNow))) return false;
        foreach (var s in seats) s.Hold(userId, DateTime.UtcNow.AddMinutes(10));
        return true;
    }
}
```
In production, lock per show rather than globally, or push this to the DB or Redis.</t>
        </is>
      </c>
      <c r="G588" s="13" t="inlineStr"/>
    </row>
    <row r="589">
      <c r="A589" s="13" t="n">
        <v>49</v>
      </c>
      <c r="B589" s="24" t="n">
        <v>46341</v>
      </c>
      <c r="C589" s="13" t="inlineStr">
        <is>
          <t>LLD</t>
        </is>
      </c>
      <c r="D589" s="17" t="inlineStr">
        <is>
          <t>Advanced</t>
        </is>
      </c>
      <c r="E589" s="13" t="inlineStr">
        <is>
          <t>Rapid fire: what weak spots should you check when revising this week's LLDs?</t>
        </is>
      </c>
      <c r="F589" s="13" t="inlineStr">
        <is>
          <t>- Can you code a Trie with autocomplete (DFS collect with limit) in 10 minutes?
- Can you explain why ShowSeat exists and handle hold expiry?
- Do chat observers get notified outside the lock?
- Does Splitwise use decimal and handle rounding remainders?
- Can you write debt simplification with two heaps?
Practise each out loud and time yourself.</t>
        </is>
      </c>
      <c r="G589" s="13" t="inlineStr"/>
    </row>
    <row r="590">
      <c r="A590" s="13" t="n">
        <v>50</v>
      </c>
      <c r="B590" s="24" t="n">
        <v>46342</v>
      </c>
      <c r="C590" s="13" t="inlineStr">
        <is>
          <t>HLD</t>
        </is>
      </c>
      <c r="D590" s="18" t="inlineStr">
        <is>
          <t>Basic</t>
        </is>
      </c>
      <c r="E590" s="13" t="inlineStr">
        <is>
          <t>What are the main components of a notification system?</t>
        </is>
      </c>
      <c r="F590" s="13" t="inlineStr">
        <is>
          <t>- Notification API: services submit events (userId, type, data, priority).
- Preference service: which channels and topics each user allows, plus quiet hours.
- Template service: renders content per channel and locale.
- Queues per channel (email, SMS, push, in-app) with channel workers calling providers such as SendGrid, Twilio, FCM/APNs.
- Notification log for status, dedupe and analytics.</t>
        </is>
      </c>
      <c r="G590" s="13" t="inlineStr"/>
    </row>
    <row r="591">
      <c r="A591" s="13" t="n">
        <v>50</v>
      </c>
      <c r="B591" s="24" t="n">
        <v>46342</v>
      </c>
      <c r="C591" s="13" t="inlineStr">
        <is>
          <t>HLD</t>
        </is>
      </c>
      <c r="D591" s="18" t="inlineStr">
        <is>
          <t>Basic</t>
        </is>
      </c>
      <c r="E591" s="13" t="inlineStr">
        <is>
          <t>Why put a message queue between the notification API and the channel senders?</t>
        </is>
      </c>
      <c r="F591" s="13" t="inlineStr">
        <is>
          <t>Queues decouple producers from slow or flaky third-party providers, absorb traffic spikes (for example a campaign to millions of users) and let each channel scale workers independently. If SMS providers are down, SMS messages wait in their queue without blocking email or push. Queues also give you retries and dead-letter queues out of the box (Azure Service Bus, SQS, RabbitMQ).</t>
        </is>
      </c>
      <c r="G591" s="13" t="inlineStr"/>
    </row>
    <row r="592">
      <c r="A592" s="13" t="n">
        <v>50</v>
      </c>
      <c r="B592" s="24" t="n">
        <v>46342</v>
      </c>
      <c r="C592" s="13" t="inlineStr">
        <is>
          <t>HLD</t>
        </is>
      </c>
      <c r="D592" s="16" t="inlineStr">
        <is>
          <t>Intermediate</t>
        </is>
      </c>
      <c r="E592" s="13" t="inlineStr">
        <is>
          <t>How do you design retries for failed notifications without spamming users?</t>
        </is>
      </c>
      <c r="F592" s="13" t="inlineStr">
        <is>
          <t>Classify errors: transient ones (timeouts, 5xx, 429) are retried with exponential backoff and jitter; permanent ones (invalid token, unsubscribed number) are not retried and may mark the device or address invalid. Cap attempts and move exhausted messages to a dead-letter queue for inspection. Use an idempotency key per notification so a retry after an ambiguous timeout does not deliver twice; optionally fall back to another provider or channel.</t>
        </is>
      </c>
      <c r="G592" s="13" t="inlineStr"/>
    </row>
    <row r="593">
      <c r="A593" s="13" t="n">
        <v>50</v>
      </c>
      <c r="B593" s="24" t="n">
        <v>46342</v>
      </c>
      <c r="C593" s="13" t="inlineStr">
        <is>
          <t>HLD</t>
        </is>
      </c>
      <c r="D593" s="16" t="inlineStr">
        <is>
          <t>Intermediate</t>
        </is>
      </c>
      <c r="E593" s="13" t="inlineStr">
        <is>
          <t>How do you implement user preferences and quiet hours?</t>
        </is>
      </c>
      <c r="F593" s="13" t="inlineStr">
        <is>
          <t>Store preferences per user as channel x category flags (for example marketing via email off, transactional via SMS on), cached in Redis because every notification reads them. Before enqueuing, the router filters channels by preference; critical notifications such as OTPs or security alerts bypass opt-outs. For quiet hours, convert the user's local window to UTC; low-priority notifications are deferred to a delayed queue until the window ends, while high-priority ones go through.</t>
        </is>
      </c>
      <c r="G593" s="13" t="inlineStr"/>
    </row>
    <row r="594">
      <c r="A594" s="13" t="n">
        <v>50</v>
      </c>
      <c r="B594" s="24" t="n">
        <v>46342</v>
      </c>
      <c r="C594" s="13" t="inlineStr">
        <is>
          <t>HLD</t>
        </is>
      </c>
      <c r="D594" s="17" t="inlineStr">
        <is>
          <t>Advanced</t>
        </is>
      </c>
      <c r="E594" s="13" t="inlineStr">
        <is>
          <t>How do you rate limit notifications per user and protect downstream providers?</t>
        </is>
      </c>
      <c r="F594" s="13" t="inlineStr">
        <is>
          <t>Apply per-user limits per channel (for example max 3 marketing pushes a day) using Redis counters or a sliding window keyed by user and category; excess notifications are dropped or merged into a digest. Also apply global rate limits matching each provider's quota using a token bucket in the channel workers. Priority queues ensure OTPs and transactional messages are never starved by bulk campaigns.</t>
        </is>
      </c>
      <c r="G594" s="13" t="inlineStr"/>
    </row>
    <row r="595">
      <c r="A595" s="13" t="n">
        <v>50</v>
      </c>
      <c r="B595" s="24" t="n">
        <v>46342</v>
      </c>
      <c r="C595" s="13" t="inlineStr">
        <is>
          <t>HLD</t>
        </is>
      </c>
      <c r="D595" s="17" t="inlineStr">
        <is>
          <t>Advanced</t>
        </is>
      </c>
      <c r="E595" s="13" t="inlineStr">
        <is>
          <t>How would you guarantee a notification is sent at most once even with retries and multiple workers?</t>
        </is>
      </c>
      <c r="F595" s="13" t="inlineStr">
        <is>
          <t>Generate a deterministic notification ID (for example hash of eventId + userId + channel) and record it in a dedupe store (Redis SETNX with TTL or a unique DB key) before sending. Workers take messages with a peek-lock/visibility timeout, and on ambiguous provider timeouts check the provider's own idempotency key support. True exactly-once is impossible end to end, so aim for at-least-once processing with idempotent sends, and accept that a rare duplicate is safer than losing an OTP.</t>
        </is>
      </c>
      <c r="G595" s="13" t="inlineStr"/>
    </row>
    <row r="596">
      <c r="A596" s="13" t="n">
        <v>50</v>
      </c>
      <c r="B596" s="24" t="n">
        <v>46342</v>
      </c>
      <c r="C596" s="13" t="inlineStr">
        <is>
          <t>LLD</t>
        </is>
      </c>
      <c r="D596" s="18" t="inlineStr">
        <is>
          <t>Basic</t>
        </is>
      </c>
      <c r="E596" s="13" t="inlineStr">
        <is>
          <t>What are the core components of a logger framework LLD?</t>
        </is>
      </c>
      <c r="F596" s="13" t="inlineStr">
        <is>
          <t>- Logger: public API (Debug, Info, Warn, Error) with a minimum level.
- LogLevel enum ordered by severity.
- LogMessage: level, text, timestamp, logger name, exception.
- IFormatter: turns a LogMessage into text (plain, JSON).
- IAppender (sink): writes to console, file, database.
- LoggerFactory or configuration to wire loggers, formatters and appenders.</t>
        </is>
      </c>
      <c r="G596" s="13" t="inlineStr"/>
    </row>
    <row r="597">
      <c r="A597" s="13" t="n">
        <v>50</v>
      </c>
      <c r="B597" s="24" t="n">
        <v>46342</v>
      </c>
      <c r="C597" s="13" t="inlineStr">
        <is>
          <t>LLD</t>
        </is>
      </c>
      <c r="D597" s="18" t="inlineStr">
        <is>
          <t>Basic</t>
        </is>
      </c>
      <c r="E597" s="13" t="inlineStr">
        <is>
          <t>How does log level filtering work?</t>
        </is>
      </c>
      <c r="F597" s="13" t="inlineStr">
        <is>
          <t>Levels are ordered (Trace &lt; Debug &lt; Info &lt; Warn &lt; Error &lt; Fatal). A logger has a minimum level, and a message is written only if its level is greater than or equal to that minimum, which is a simple integer comparison on the enum. Appenders can also have their own thresholds, so errors go to a file and everything goes to the console. Check the level before building expensive messages to avoid wasted string formatting.</t>
        </is>
      </c>
      <c r="G597" s="13" t="inlineStr"/>
    </row>
    <row r="598">
      <c r="A598" s="13" t="n">
        <v>50</v>
      </c>
      <c r="B598" s="24" t="n">
        <v>46342</v>
      </c>
      <c r="C598" s="13" t="inlineStr">
        <is>
          <t>LLD</t>
        </is>
      </c>
      <c r="D598" s="16" t="inlineStr">
        <is>
          <t>Intermediate</t>
        </is>
      </c>
      <c r="E598" s="13" t="inlineStr">
        <is>
          <t>Which design patterns fit a logger framework?</t>
        </is>
      </c>
      <c r="F598" s="13" t="inlineStr">
        <is>
          <t>- Singleton or a factory-managed instance so the app shares configuration.
- Strategy for formatters and appenders, which are interchangeable.
- Chain of Responsibility for level handlers, where each handler processes its level and passes on.
- Observer, since multiple appenders subscribe to log events.
- Builder for fluent configuration.
Mention that in real .NET you would use ILogger&lt;T&gt; from Microsoft.Extensions.Logging with DI rather than a hand-rolled singleton.</t>
        </is>
      </c>
      <c r="G598" s="13" t="inlineStr"/>
    </row>
    <row r="599">
      <c r="A599" s="13" t="n">
        <v>50</v>
      </c>
      <c r="B599" s="24" t="n">
        <v>46342</v>
      </c>
      <c r="C599" s="13" t="inlineStr">
        <is>
          <t>LLD</t>
        </is>
      </c>
      <c r="D599" s="16" t="inlineStr">
        <is>
          <t>Intermediate</t>
        </is>
      </c>
      <c r="E599" s="13" t="inlineStr">
        <is>
          <t>Show a minimal logger with pluggable appenders in C#.</t>
        </is>
      </c>
      <c r="F599" s="13" t="inlineStr">
        <is>
          <t>The logger filters by level and fans out to every registered appender.
```csharp
public enum LogLevel { Debug, Info, Warn, Error }
public interface IAppender { void Append(LogLevel level, string msg); }
public class Logger {
    private readonly List&lt;IAppender&gt; _appenders = new();
    public LogLevel MinLevel { get; set; } = LogLevel.Info;
    public void AddAppender(IAppender a) =&gt; _appenders.Add(a);
    public void Log(LogLevel level, string msg) {
        if (level &lt; MinLevel) return;
        foreach (var a in _appenders) a.Append(level, $"{DateTime.UtcNow:O} [{level}] {msg}");
    }
}
```</t>
        </is>
      </c>
      <c r="G599" s="13" t="inlineStr"/>
    </row>
    <row r="600">
      <c r="A600" s="13" t="n">
        <v>50</v>
      </c>
      <c r="B600" s="24" t="n">
        <v>46342</v>
      </c>
      <c r="C600" s="13" t="inlineStr">
        <is>
          <t>LLD</t>
        </is>
      </c>
      <c r="D600" s="17" t="inlineStr">
        <is>
          <t>Advanced</t>
        </is>
      </c>
      <c r="E600" s="13" t="inlineStr">
        <is>
          <t>How do you make logging thread-safe and avoid slowing down request threads?</t>
        </is>
      </c>
      <c r="F600" s="13" t="inlineStr">
        <is>
          <t>Use an asynchronous pipeline: Log only enqueues the message into a bounded Channel&lt;LogMessage&gt; or BlockingCollection, and one background consumer writes to appenders. This serializes file writes without locks on the hot path and keeps request latency low. Decide what happens when the buffer is full (block, drop Debug messages, or drop oldest), and flush the queue on shutdown via IDisposable or an application-stopping hook so logs are not lost.</t>
        </is>
      </c>
      <c r="G600" s="13" t="inlineStr"/>
    </row>
    <row r="601">
      <c r="A601" s="13" t="n">
        <v>50</v>
      </c>
      <c r="B601" s="24" t="n">
        <v>46342</v>
      </c>
      <c r="C601" s="13" t="inlineStr">
        <is>
          <t>LLD</t>
        </is>
      </c>
      <c r="D601" s="17" t="inlineStr">
        <is>
          <t>Advanced</t>
        </is>
      </c>
      <c r="E601" s="13" t="inlineStr">
        <is>
          <t>How would you implement a rolling file appender and structured logging?</t>
        </is>
      </c>
      <c r="F601" s="13" t="inlineStr">
        <is>
          <t>The file appender tracks the current file size or date and, when a threshold is crossed, closes the stream, renames the file (app-2026-09-25.1.log) and opens a new one, keeping only N old files. Structured logging stores properties separately from the message template ("Order {OrderId} failed") and a JSON formatter emits them as fields, so tools like Seq, ELK or Application Insights can query by OrderId. Include correlation IDs from the request scope so logs across services can be joined.</t>
        </is>
      </c>
      <c r="G601" s="13" t="inlineStr"/>
    </row>
    <row r="602">
      <c r="A602" s="13" t="n">
        <v>51</v>
      </c>
      <c r="B602" s="24" t="n">
        <v>46343</v>
      </c>
      <c r="C602" s="13" t="inlineStr">
        <is>
          <t>HLD</t>
        </is>
      </c>
      <c r="D602" s="18" t="inlineStr">
        <is>
          <t>Basic</t>
        </is>
      </c>
      <c r="E602" s="13" t="inlineStr">
        <is>
          <t>What is the step-by-step framework for estimating a real system like WhatsApp?</t>
        </is>
      </c>
      <c r="F602" s="13" t="inlineStr">
        <is>
          <t>- State assumptions: DAU, actions per user, object sizes, read/write ratio.
- Traffic: requests/day to average QPS to peak QPS.
- Storage: daily data x retention x replication.
- Bandwidth: QPS x payload size, ingress and egress.
- Servers and connections: peak load divided by per-node capacity, plus headroom.
Say each assumption out loud and round aggressively.</t>
        </is>
      </c>
      <c r="G602" s="13" t="inlineStr"/>
    </row>
    <row r="603">
      <c r="A603" s="13" t="n">
        <v>51</v>
      </c>
      <c r="B603" s="24" t="n">
        <v>46343</v>
      </c>
      <c r="C603" s="13" t="inlineStr">
        <is>
          <t>HLD</t>
        </is>
      </c>
      <c r="D603" s="18" t="inlineStr">
        <is>
          <t>Basic</t>
        </is>
      </c>
      <c r="E603" s="13" t="inlineStr">
        <is>
          <t>Why should you state assumptions out loud during estimation?</t>
        </is>
      </c>
      <c r="F603" s="13" t="inlineStr">
        <is>
          <t>The interviewer is grading your reasoning, and stated assumptions let them correct you early (for example 'assume 500M DAU, not 2B'). It makes your arithmetic traceable, so a wrong input does not look like a wrong method. It also shows product sense, such as recognising that messages are small but media dominates storage.</t>
        </is>
      </c>
      <c r="G603" s="13" t="inlineStr"/>
    </row>
    <row r="604">
      <c r="A604" s="13" t="n">
        <v>51</v>
      </c>
      <c r="B604" s="24" t="n">
        <v>46343</v>
      </c>
      <c r="C604" s="13" t="inlineStr">
        <is>
          <t>HLD</t>
        </is>
      </c>
      <c r="D604" s="16" t="inlineStr">
        <is>
          <t>Intermediate</t>
        </is>
      </c>
      <c r="E604" s="13" t="inlineStr">
        <is>
          <t>Estimate message QPS and storage for WhatsApp with 1 billion DAU.</t>
        </is>
      </c>
      <c r="F604" s="13" t="inlineStr">
        <is>
          <t>Assume 40 messages sent per user per day: 40 billion messages/day, divided by 100k seconds, is about 400k messages/sec average and about 1M/sec at peak. With about 100 bytes per text message plus metadata, 40B x 100 B = 4 TB/day, about 1.5 PB/year before replication. Media is assumed at 5% of messages x 200 KB = 400 TB/day, which is why media goes to object storage with expiry after delivery and metadata goes to a wide-column store.</t>
        </is>
      </c>
      <c r="G604" s="13" t="inlineStr"/>
    </row>
    <row r="605">
      <c r="A605" s="13" t="n">
        <v>51</v>
      </c>
      <c r="B605" s="24" t="n">
        <v>46343</v>
      </c>
      <c r="C605" s="13" t="inlineStr">
        <is>
          <t>HLD</t>
        </is>
      </c>
      <c r="D605" s="16" t="inlineStr">
        <is>
          <t>Intermediate</t>
        </is>
      </c>
      <c r="E605" s="13" t="inlineStr">
        <is>
          <t>How do you estimate bandwidth for such a system?</t>
        </is>
      </c>
      <c r="F605" s="13" t="inlineStr">
        <is>
          <t>Bandwidth = QPS x average payload. Text: 400k/sec x 100 B = 40 MB/sec, which is small. Media: 40B x 5% = 2B media per day / 100k s = 20k per second x 200 KB = 4 GB/sec ingress, and egress is higher because each media is downloaded by one or more recipients (x group fan-out). This shows media egress is the cost driver and justifies CDN caching and compression.</t>
        </is>
      </c>
      <c r="G605" s="13" t="inlineStr"/>
    </row>
    <row r="606">
      <c r="A606" s="13" t="n">
        <v>51</v>
      </c>
      <c r="B606" s="24" t="n">
        <v>46343</v>
      </c>
      <c r="C606" s="13" t="inlineStr">
        <is>
          <t>HLD</t>
        </is>
      </c>
      <c r="D606" s="17" t="inlineStr">
        <is>
          <t>Advanced</t>
        </is>
      </c>
      <c r="E606" s="13" t="inlineStr">
        <is>
          <t>How many connection servers would WhatsApp need?</t>
        </is>
      </c>
      <c r="F606" s="13" t="inlineStr">
        <is>
          <t>Assume 30% of 1B DAU are online at peak: 300M concurrent WebSocket connections. If a tuned gateway node holds about 500k connections (WhatsApp famously got ~1-2M per Erlang box), you need about 600 nodes, round to 800-1,000 for headroom and zone failures. Then check the message rate per node: 1M msgs/sec / 800 nodes is about 1,250/sec each, which is comfortable, so connections, not throughput, drive the node count.</t>
        </is>
      </c>
      <c r="G606" s="13" t="inlineStr"/>
    </row>
    <row r="607">
      <c r="A607" s="13" t="n">
        <v>51</v>
      </c>
      <c r="B607" s="24" t="n">
        <v>46343</v>
      </c>
      <c r="C607" s="13" t="inlineStr">
        <is>
          <t>HLD</t>
        </is>
      </c>
      <c r="D607" s="17" t="inlineStr">
        <is>
          <t>Advanced</t>
        </is>
      </c>
      <c r="E607" s="13" t="inlineStr">
        <is>
          <t>How would you use estimation results to drive design decisions in the interview?</t>
        </is>
      </c>
      <c r="F607" s="13" t="inlineStr">
        <is>
          <t>Tie each number to a decision: 1M writes/sec rules out a single relational primary, so use a partitioned store like Cassandra keyed by conversation. 1.5 PB/year of text means tiered storage or deleting delivered messages from servers. 300M connections means a dedicated gateway tier plus a pub/sub or routing layer. 4 GB/sec media means object storage plus CDN. Interviewers value this link from numbers to architecture more than precise arithmetic.</t>
        </is>
      </c>
      <c r="G607" s="13" t="inlineStr"/>
    </row>
    <row r="608">
      <c r="A608" s="13" t="n">
        <v>51</v>
      </c>
      <c r="B608" s="24" t="n">
        <v>46343</v>
      </c>
      <c r="C608" s="13" t="inlineStr">
        <is>
          <t>LLD</t>
        </is>
      </c>
      <c r="D608" s="18" t="inlineStr">
        <is>
          <t>Basic</t>
        </is>
      </c>
      <c r="E608" s="13" t="inlineStr">
        <is>
          <t>What are the main classes in a Snake and Ladder LLD?</t>
        </is>
      </c>
      <c r="F608" s="13" t="inlineStr">
        <is>
          <t>- Board: size (100) and a map of jumps from start cell to end cell.
- Snake and Ladder: both are a Jump(start, end); snake has end &lt; start, ladder has end &gt; start.
- Player: Id, Name, Position.
- Dice: Roll() returning 1..6 (or N dice).
- Game: players queue, board, dice, current turn, winner and a Play loop.</t>
        </is>
      </c>
      <c r="G608" s="13" t="inlineStr"/>
    </row>
    <row r="609">
      <c r="A609" s="13" t="n">
        <v>51</v>
      </c>
      <c r="B609" s="24" t="n">
        <v>46343</v>
      </c>
      <c r="C609" s="13" t="inlineStr">
        <is>
          <t>LLD</t>
        </is>
      </c>
      <c r="D609" s="18" t="inlineStr">
        <is>
          <t>Basic</t>
        </is>
      </c>
      <c r="E609" s="13" t="inlineStr">
        <is>
          <t>Should Snake and Ladder be separate classes?</t>
        </is>
      </c>
      <c r="F609" s="13" t="inlineStr">
        <is>
          <t>They behave identically (land on start, move to end), so a single Jump class with start and end is simpler and avoids duplicate code; the type can be derived from the direction. Separate classes are justified only if they gain different behaviour, for example a snake that costs a turn. Validate on board setup: no jump starts at cell 100, no cycles, and at most one jump per start cell.</t>
        </is>
      </c>
      <c r="G609" s="13" t="inlineStr"/>
    </row>
    <row r="610">
      <c r="A610" s="13" t="n">
        <v>51</v>
      </c>
      <c r="B610" s="24" t="n">
        <v>46343</v>
      </c>
      <c r="C610" s="13" t="inlineStr">
        <is>
          <t>LLD</t>
        </is>
      </c>
      <c r="D610" s="16" t="inlineStr">
        <is>
          <t>Intermediate</t>
        </is>
      </c>
      <c r="E610" s="13" t="inlineStr">
        <is>
          <t>How do you manage turns and win conditions?</t>
        </is>
      </c>
      <c r="F610" s="13" t="inlineStr">
        <is>
          <t>Keep players in a Queue&lt;Player&gt;: dequeue the current player, roll, move and, if not won, enqueue them at the back. Rules to confirm: if the roll takes the player past 100 they stay put; after moving apply any snake or ladder; the first player to exactly 100 wins. Optional rules like three sixes or extra turns on a six are easy extensions within this loop.</t>
        </is>
      </c>
      <c r="G610" s="13" t="inlineStr"/>
    </row>
    <row r="611">
      <c r="A611" s="13" t="n">
        <v>51</v>
      </c>
      <c r="B611" s="24" t="n">
        <v>46343</v>
      </c>
      <c r="C611" s="13" t="inlineStr">
        <is>
          <t>LLD</t>
        </is>
      </c>
      <c r="D611" s="16" t="inlineStr">
        <is>
          <t>Intermediate</t>
        </is>
      </c>
      <c r="E611" s="13" t="inlineStr">
        <is>
          <t>Show the core move logic in C#.</t>
        </is>
      </c>
      <c r="F611" s="13" t="inlineStr">
        <is>
          <t>Apply the roll, reject overshoot, then follow jumps.
```csharp
public void TakeTurn(Player p) {
    int roll = _dice.Roll();
    int next = p.Position + roll;
    if (next &gt; _board.Size) return;          // overshoot: stay
    if (_board.Jumps.TryGetValue(next, out int end)) next = end;
    p.Position = next;
    if (next == _board.Size) Winner = p;
}
```</t>
        </is>
      </c>
      <c r="G611" s="13" t="inlineStr"/>
    </row>
    <row r="612">
      <c r="A612" s="13" t="n">
        <v>51</v>
      </c>
      <c r="B612" s="24" t="n">
        <v>46343</v>
      </c>
      <c r="C612" s="13" t="inlineStr">
        <is>
          <t>LLD</t>
        </is>
      </c>
      <c r="D612" s="17" t="inlineStr">
        <is>
          <t>Advanced</t>
        </is>
      </c>
      <c r="E612" s="13" t="inlineStr">
        <is>
          <t>How would you make the dice and game testable?</t>
        </is>
      </c>
      <c r="F612" s="13" t="inlineStr">
        <is>
          <t>Put the dice behind an IDice interface and inject it into Game; tests use a FixedDice that returns a scripted sequence, so you can assert that landing on a known ladder moves the player correctly. Pass the board configuration in instead of hard-coding it. Avoid Random inside Game, or inject a seeded Random, so games are deterministic in tests.</t>
        </is>
      </c>
      <c r="G612" s="13" t="inlineStr"/>
    </row>
    <row r="613">
      <c r="A613" s="13" t="n">
        <v>51</v>
      </c>
      <c r="B613" s="24" t="n">
        <v>46343</v>
      </c>
      <c r="C613" s="13" t="inlineStr">
        <is>
          <t>LLD</t>
        </is>
      </c>
      <c r="D613" s="17" t="inlineStr">
        <is>
          <t>Advanced</t>
        </is>
      </c>
      <c r="E613" s="13" t="inlineStr">
        <is>
          <t>How would you extend the design for multiple dice, custom rules, or several simultaneous games?</t>
        </is>
      </c>
      <c r="F613" s="13" t="inlineStr">
        <is>
          <t>Use a strategy for dice (IDice with SingleDice and MultiDice, sum of rolls) and an IRule or rule-chain for movement rules like overshoot or bonus turns, following the Open/Closed principle. A GameFactory builds a board from configuration. For many concurrent games (online), each Game instance holds its own state with no statics, a GameManager keyed by game ID stores them, and moves are serialized per game with a lock or single-threaded actor.</t>
        </is>
      </c>
      <c r="G613" s="13" t="inlineStr"/>
    </row>
    <row r="614">
      <c r="A614" s="13" t="n">
        <v>52</v>
      </c>
      <c r="B614" s="24" t="n">
        <v>46344</v>
      </c>
      <c r="C614" s="13" t="inlineStr">
        <is>
          <t>HLD</t>
        </is>
      </c>
      <c r="D614" s="18" t="inlineStr">
        <is>
          <t>Basic</t>
        </is>
      </c>
      <c r="E614" s="13" t="inlineStr">
        <is>
          <t>What are the requirements and scale assumptions for Pastebin?</t>
        </is>
      </c>
      <c r="F614" s="13" t="inlineStr">
        <is>
          <t>Users paste text and get a short URL; anyone with the link can read it. Optional features: expiry, custom alias, private pastes, syntax highlighting. It is read-heavy (about 10:1 reads to writes). Example: 1M new pastes/day (about 12 writes/sec), 10M reads/day (about 120 reads/sec, 400 peak), average paste 10 KB, maximum 10 MB, so 10 GB/day or about 18 TB over five years.</t>
        </is>
      </c>
      <c r="G614" s="13" t="inlineStr"/>
    </row>
    <row r="615">
      <c r="A615" s="13" t="n">
        <v>52</v>
      </c>
      <c r="B615" s="24" t="n">
        <v>46344</v>
      </c>
      <c r="C615" s="13" t="inlineStr">
        <is>
          <t>HLD</t>
        </is>
      </c>
      <c r="D615" s="18" t="inlineStr">
        <is>
          <t>Basic</t>
        </is>
      </c>
      <c r="E615" s="13" t="inlineStr">
        <is>
          <t>Why store paste content in object storage and metadata in a database?</t>
        </is>
      </c>
      <c r="F615" s="13" t="inlineStr">
        <is>
          <t>Content blobs can be up to megabytes, are immutable and are read whole, which is exactly what object storage (S3, Azure Blob) is built for: cheap, durable, and scalable without DB bloat. Metadata (key, owner, created, expiry, visibility, size, content pointer) is small and queried by key or owner, so it fits a relational or key-value DB. Small pastes can be inlined in the DB as an optimisation.</t>
        </is>
      </c>
      <c r="G615" s="13" t="inlineStr"/>
    </row>
    <row r="616">
      <c r="A616" s="13" t="n">
        <v>52</v>
      </c>
      <c r="B616" s="24" t="n">
        <v>46344</v>
      </c>
      <c r="C616" s="13" t="inlineStr">
        <is>
          <t>HLD</t>
        </is>
      </c>
      <c r="D616" s="16" t="inlineStr">
        <is>
          <t>Intermediate</t>
        </is>
      </c>
      <c r="E616" s="13" t="inlineStr">
        <is>
          <t>How do you generate short unique keys for pastes?</t>
        </is>
      </c>
      <c r="F616" s="13" t="inlineStr">
        <is>
          <t>Options: base62-encode a unique ID from a distributed ID generator (Snowflake or DB sequence ranges handed to each app server), or generate random 7-8 character base62 strings and retry on collision using a unique constraint. A pre-generated Key Generation Service that hands out unused keys avoids collisions at write time. Random keys are preferable for private pastes because sequential IDs are guessable.</t>
        </is>
      </c>
      <c r="G616" s="13" t="inlineStr"/>
    </row>
    <row r="617">
      <c r="A617" s="13" t="n">
        <v>52</v>
      </c>
      <c r="B617" s="24" t="n">
        <v>46344</v>
      </c>
      <c r="C617" s="13" t="inlineStr">
        <is>
          <t>HLD</t>
        </is>
      </c>
      <c r="D617" s="16" t="inlineStr">
        <is>
          <t>Intermediate</t>
        </is>
      </c>
      <c r="E617" s="13" t="inlineStr">
        <is>
          <t>How do you handle paste expiry?</t>
        </is>
      </c>
      <c r="F617" s="13" t="inlineStr">
        <is>
          <t>Store expires_at in metadata and check it on every read, returning 404 if expired, so correctness does not depend on cleanup timing. A background job deletes expired metadata in batches, and object storage lifecycle rules delete old blobs. Cache TTLs should not exceed the paste's remaining lifetime. Burn-after-reading pastes are deleted atomically on the first read with a conditional update.</t>
        </is>
      </c>
      <c r="G617" s="13" t="inlineStr"/>
    </row>
    <row r="618">
      <c r="A618" s="13" t="n">
        <v>52</v>
      </c>
      <c r="B618" s="24" t="n">
        <v>46344</v>
      </c>
      <c r="C618" s="13" t="inlineStr">
        <is>
          <t>HLD</t>
        </is>
      </c>
      <c r="D618" s="17" t="inlineStr">
        <is>
          <t>Advanced</t>
        </is>
      </c>
      <c r="E618" s="13" t="inlineStr">
        <is>
          <t>How would you cache and serve reads at scale?</t>
        </is>
      </c>
      <c r="F618" s="13" t="inlineStr">
        <is>
          <t>Reads are immutable, so caching is very effective: put a CDN in front for public pastes (cache key = paste key, long TTL bounded by expiry) and a Redis cache-aside layer for metadata and small content. Popular pastes follow a power-law, so an LRU cache of about 20% of daily reads handles most traffic. Private pastes bypass the CDN or use signed URLs. Since content never changes, there is no invalidation problem except on delete or expiry.</t>
        </is>
      </c>
      <c r="G618" s="13" t="inlineStr"/>
    </row>
    <row r="619">
      <c r="A619" s="13" t="n">
        <v>52</v>
      </c>
      <c r="B619" s="24" t="n">
        <v>46344</v>
      </c>
      <c r="C619" s="13" t="inlineStr">
        <is>
          <t>HLD</t>
        </is>
      </c>
      <c r="D619" s="17" t="inlineStr">
        <is>
          <t>Advanced</t>
        </is>
      </c>
      <c r="E619" s="13" t="inlineStr">
        <is>
          <t>How do you implement access control and abuse prevention?</t>
        </is>
      </c>
      <c r="F619" s="13" t="inlineStr">
        <is>
          <t>Visibility levels: public, unlisted (only via link with an unguessable key) and private (owner or allowed users only, checked with authentication on read). Serve private blobs through the API or with short-lived signed URLs rather than public buckets. Prevent abuse with rate limits per IP and user, size limits, malware and spam scanning asynchronously, and a report/takedown flow. Unlisted keys must be long and random enough to resist enumeration.</t>
        </is>
      </c>
      <c r="G619" s="13" t="inlineStr"/>
    </row>
    <row r="620">
      <c r="A620" s="13" t="n">
        <v>52</v>
      </c>
      <c r="B620" s="24" t="n">
        <v>46344</v>
      </c>
      <c r="C620" s="13" t="inlineStr">
        <is>
          <t>LLD</t>
        </is>
      </c>
      <c r="D620" s="18" t="inlineStr">
        <is>
          <t>Basic</t>
        </is>
      </c>
      <c r="E620" s="13" t="inlineStr">
        <is>
          <t>What classes would you define for Tic-Tac-Toe?</t>
        </is>
      </c>
      <c r="F620" s="13" t="inlineStr">
        <is>
          <t>- Symbol enum (X, O, Empty).
- Board: N x N grid, PlaceMove, IsFull, cell access.
- Player: Name, Symbol (possibly a HumanPlayer/BotPlayer hierarchy).
- Move: Row, Col, Player.
- Game: board, players, current turn, status (InProgress, Won, Draw) and MakeMove.
- WinningStrategy for checking a winner.</t>
        </is>
      </c>
      <c r="G620" s="13" t="inlineStr"/>
    </row>
    <row r="621">
      <c r="A621" s="13" t="n">
        <v>52</v>
      </c>
      <c r="B621" s="24" t="n">
        <v>46344</v>
      </c>
      <c r="C621" s="13" t="inlineStr">
        <is>
          <t>LLD</t>
        </is>
      </c>
      <c r="D621" s="18" t="inlineStr">
        <is>
          <t>Basic</t>
        </is>
      </c>
      <c r="E621" s="13" t="inlineStr">
        <is>
          <t>How do you validate a move?</t>
        </is>
      </c>
      <c r="F621" s="13" t="inlineStr">
        <is>
          <t>A move is valid if the game is still in progress, it is that player's turn, the row and column are within bounds and the cell is empty. Return a result or throw a domain exception for each failure rather than silently ignoring it. After a valid move, check win and draw, then switch turn.</t>
        </is>
      </c>
      <c r="G621" s="13" t="inlineStr"/>
    </row>
    <row r="622">
      <c r="A622" s="13" t="n">
        <v>52</v>
      </c>
      <c r="B622" s="24" t="n">
        <v>46344</v>
      </c>
      <c r="C622" s="13" t="inlineStr">
        <is>
          <t>LLD</t>
        </is>
      </c>
      <c r="D622" s="16" t="inlineStr">
        <is>
          <t>Intermediate</t>
        </is>
      </c>
      <c r="E622" s="13" t="inlineStr">
        <is>
          <t>How do you check for a winner in O(1) per move?</t>
        </is>
      </c>
      <c r="F622" s="13" t="inlineStr">
        <is>
          <t>Keep counters per row, column and both diagonals: add +1 for X and -1 for O. After a move at (r, c), update rows[r], cols[c], diag if r == c and antiDiag if r + c == n - 1; if any absolute value reaches n, that player wins.
```csharp
public bool Apply(int r, int c, int v) { // v = +1 or -1
    _rows[r] += v; _cols[c] += v;
    if (r == c) _diag += v;
    if (r + c == _n - 1) _anti += v;
    return Math.Abs(_rows[r]) == _n || Math.Abs(_cols[c]) == _n
        || Math.Abs(_diag) == _n || Math.Abs(_anti) == _n;
}
```</t>
        </is>
      </c>
      <c r="G622" s="13" t="inlineStr"/>
    </row>
    <row r="623">
      <c r="A623" s="13" t="n">
        <v>52</v>
      </c>
      <c r="B623" s="24" t="n">
        <v>46344</v>
      </c>
      <c r="C623" s="13" t="inlineStr">
        <is>
          <t>LLD</t>
        </is>
      </c>
      <c r="D623" s="16" t="inlineStr">
        <is>
          <t>Intermediate</t>
        </is>
      </c>
      <c r="E623" s="13" t="inlineStr">
        <is>
          <t>How would you support an N x N board with K-in-a-row to win?</t>
        </is>
      </c>
      <c r="F623" s="13" t="inlineStr">
        <is>
          <t>Keep the board size and win length as configuration instead of hard-coding 3. For K &lt; N, the counter trick no longer works, so after each move scan the four directions (horizontal, vertical, two diagonals) from the placed cell and count consecutive matching symbols in both directions; this is O(K) per move. Put this behind an IWinningStrategy so the 3x3 counter version and the K-in-a-row version are interchangeable.</t>
        </is>
      </c>
      <c r="G623" s="13" t="inlineStr"/>
    </row>
    <row r="624">
      <c r="A624" s="13" t="n">
        <v>52</v>
      </c>
      <c r="B624" s="24" t="n">
        <v>46344</v>
      </c>
      <c r="C624" s="13" t="inlineStr">
        <is>
          <t>LLD</t>
        </is>
      </c>
      <c r="D624" s="17" t="inlineStr">
        <is>
          <t>Advanced</t>
        </is>
      </c>
      <c r="E624" s="13" t="inlineStr">
        <is>
          <t>How would you add undo and a bot player?</t>
        </is>
      </c>
      <c r="F624" s="13" t="inlineStr">
        <is>
          <t>For undo, keep a Stack&lt;Move&gt; of history; undo pops the last move, clears the cell, reverses the win counters and switches turn back, which is the Command pattern (each Move knows how to execute and undo). For a bot, make Player abstract with a GetNextMove(Board) method; HumanPlayer reads input and BotPlayer uses a strategy (random, rule-based or minimax). Game only calls player.GetNextMove, so it does not care who is playing.</t>
        </is>
      </c>
      <c r="G624" s="13" t="inlineStr"/>
    </row>
    <row r="625">
      <c r="A625" s="13" t="n">
        <v>52</v>
      </c>
      <c r="B625" s="24" t="n">
        <v>46344</v>
      </c>
      <c r="C625" s="13" t="inlineStr">
        <is>
          <t>LLD</t>
        </is>
      </c>
      <c r="D625" s="17" t="inlineStr">
        <is>
          <t>Advanced</t>
        </is>
      </c>
      <c r="E625" s="13" t="inlineStr">
        <is>
          <t>How does minimax work for a Tic-Tac-Toe bot, and how would you speed it up?</t>
        </is>
      </c>
      <c r="F625" s="13" t="inlineStr">
        <is>
          <t>Minimax recursively tries every empty cell, scoring terminal states +10 for a bot win, -10 for a loss and 0 for a draw; the bot maximises and the opponent minimises, so the bot picks the move with the best guaranteed outcome. For 3x3 the full tree is small (under 10! states). Speed it up with alpha-beta pruning, memoising board states in a dictionary, and subtracting depth from the score so the bot prefers faster wins.</t>
        </is>
      </c>
      <c r="G625" s="13" t="inlineStr"/>
    </row>
    <row r="626">
      <c r="A626" s="13" t="n">
        <v>53</v>
      </c>
      <c r="B626" s="24" t="n">
        <v>46345</v>
      </c>
      <c r="C626" s="13" t="inlineStr">
        <is>
          <t>HLD</t>
        </is>
      </c>
      <c r="D626" s="18" t="inlineStr">
        <is>
          <t>Basic</t>
        </is>
      </c>
      <c r="E626" s="13" t="inlineStr">
        <is>
          <t>What API and requirements does a basic distributed key-value store have?</t>
        </is>
      </c>
      <c r="F626" s="13" t="inlineStr">
        <is>
          <t>API: put(key, value, ttl?), get(key) and delete(key). Requirements: horizontal scalability to terabytes, high availability, low-latency reads and writes, tunable consistency and automatic failure handling. Values are opaque bytes with a size limit (for example 1 MB). Examples in the real world are DynamoDB, Cassandra and Riak.</t>
        </is>
      </c>
      <c r="G626" s="13" t="inlineStr"/>
    </row>
    <row r="627">
      <c r="A627" s="13" t="n">
        <v>53</v>
      </c>
      <c r="B627" s="24" t="n">
        <v>46345</v>
      </c>
      <c r="C627" s="13" t="inlineStr">
        <is>
          <t>HLD</t>
        </is>
      </c>
      <c r="D627" s="18" t="inlineStr">
        <is>
          <t>Basic</t>
        </is>
      </c>
      <c r="E627" s="13" t="inlineStr">
        <is>
          <t>How is data partitioned across nodes in a KV store?</t>
        </is>
      </c>
      <c r="F627" s="13" t="inlineStr">
        <is>
          <t>Use consistent hashing: nodes and keys are hashed onto a ring, and each key belongs to the first node clockwise. Virtual nodes (many tokens per physical node) spread load evenly and allow heterogeneous hardware. Adding or removing a node moves only the keys in the neighbouring ranges, unlike hash mod N, which reshuffles almost everything.</t>
        </is>
      </c>
      <c r="G627" s="13" t="inlineStr"/>
    </row>
    <row r="628">
      <c r="A628" s="13" t="n">
        <v>53</v>
      </c>
      <c r="B628" s="24" t="n">
        <v>46345</v>
      </c>
      <c r="C628" s="13" t="inlineStr">
        <is>
          <t>HLD</t>
        </is>
      </c>
      <c r="D628" s="16" t="inlineStr">
        <is>
          <t>Intermediate</t>
        </is>
      </c>
      <c r="E628" s="13" t="inlineStr">
        <is>
          <t>How does replication work and what do N, R and W mean?</t>
        </is>
      </c>
      <c r="F628" s="13" t="inlineStr">
        <is>
          <t>Each key is stored on N nodes, typically the next N distinct physical nodes on the ring (its preference list). A write succeeds after W replicas acknowledge, and a read queries R replicas. If R + W &gt; N, the read and write sets overlap so a read sees the latest acknowledged write. Common setting: N=3, W=2, R=2; W=1, R=1 favours latency and availability over consistency.</t>
        </is>
      </c>
      <c r="G628" s="13" t="inlineStr"/>
    </row>
    <row r="629">
      <c r="A629" s="13" t="n">
        <v>53</v>
      </c>
      <c r="B629" s="24" t="n">
        <v>46345</v>
      </c>
      <c r="C629" s="13" t="inlineStr">
        <is>
          <t>HLD</t>
        </is>
      </c>
      <c r="D629" s="16" t="inlineStr">
        <is>
          <t>Intermediate</t>
        </is>
      </c>
      <c r="E629" s="13" t="inlineStr">
        <is>
          <t>How do you resolve conflicting versions when replicas diverge?</t>
        </is>
      </c>
      <c r="F629" s="13" t="inlineStr">
        <is>
          <t>Simple approach: last-write-wins using timestamps, which is easy but can silently drop concurrent writes due to clock skew. Better: vector clocks, which detect whether one version supersedes another or they are concurrent; concurrent versions are returned to the client (or merged, as with CRDTs such as a counter or set) to resolve. Cassandra uses LWW per cell; Dynamo used vector clocks.</t>
        </is>
      </c>
      <c r="G629" s="13" t="inlineStr"/>
    </row>
    <row r="630">
      <c r="A630" s="13" t="n">
        <v>53</v>
      </c>
      <c r="B630" s="24" t="n">
        <v>46345</v>
      </c>
      <c r="C630" s="13" t="inlineStr">
        <is>
          <t>HLD</t>
        </is>
      </c>
      <c r="D630" s="17" t="inlineStr">
        <is>
          <t>Advanced</t>
        </is>
      </c>
      <c r="E630" s="13" t="inlineStr">
        <is>
          <t>What are hinted handoff and read repair?</t>
        </is>
      </c>
      <c r="F630" s="13" t="inlineStr">
        <is>
          <t>Hinted handoff: if a replica is down during a write, another healthy node accepts the write with a hint naming the intended owner, and forwards it when the owner recovers; this keeps writes available (sloppy quorum). Read repair: during a read, the coordinator compares versions from R replicas and writes the newest value back to stale replicas. Both handle short-term inconsistency; long-term divergence is fixed by anti-entropy using Merkle trees.</t>
        </is>
      </c>
      <c r="G630" s="13" t="inlineStr"/>
    </row>
    <row r="631">
      <c r="A631" s="13" t="n">
        <v>53</v>
      </c>
      <c r="B631" s="24" t="n">
        <v>46345</v>
      </c>
      <c r="C631" s="13" t="inlineStr">
        <is>
          <t>HLD</t>
        </is>
      </c>
      <c r="D631" s="17" t="inlineStr">
        <is>
          <t>Advanced</t>
        </is>
      </c>
      <c r="E631" s="13" t="inlineStr">
        <is>
          <t>How does a single node store data efficiently for write-heavy workloads?</t>
        </is>
      </c>
      <c r="F631" s="13" t="inlineStr">
        <is>
          <t>Most KV stores use an LSM tree: writes go to an append-only commit log (for durability) and an in-memory memtable; when full, the memtable is flushed as an immutable sorted SSTable. Reads check the memtable, then SSTables from newest to oldest, using Bloom filters to skip files that cannot contain the key. Background compaction merges SSTables and drops overwritten and deleted (tombstoned) or TTL-expired keys. This gives sequential writes at the cost of read and space amplification.</t>
        </is>
      </c>
      <c r="G631" s="13" t="inlineStr"/>
    </row>
    <row r="632">
      <c r="A632" s="13" t="n">
        <v>53</v>
      </c>
      <c r="B632" s="24" t="n">
        <v>46345</v>
      </c>
      <c r="C632" s="13" t="inlineStr">
        <is>
          <t>LLD</t>
        </is>
      </c>
      <c r="D632" s="18" t="inlineStr">
        <is>
          <t>Basic</t>
        </is>
      </c>
      <c r="E632" s="13" t="inlineStr">
        <is>
          <t>What is the interface of an in-memory KV store with TTL?</t>
        </is>
      </c>
      <c r="F632" s="13" t="inlineStr">
        <is>
          <t>Get(key) returns the value or null/false if missing or expired; Put(key, value, ttl) stores a value with an optional expiry; Delete(key) removes it. Internally store an Entry(Value, ExpiresAt) in a dictionary. Make it generic (KVStore&lt;TKey, TValue&gt;) and put it behind an interface so it can be mocked or swapped for Redis.</t>
        </is>
      </c>
      <c r="G632" s="13" t="inlineStr"/>
    </row>
    <row r="633">
      <c r="A633" s="13" t="n">
        <v>53</v>
      </c>
      <c r="B633" s="24" t="n">
        <v>46345</v>
      </c>
      <c r="C633" s="13" t="inlineStr">
        <is>
          <t>LLD</t>
        </is>
      </c>
      <c r="D633" s="18" t="inlineStr">
        <is>
          <t>Basic</t>
        </is>
      </c>
      <c r="E633" s="13" t="inlineStr">
        <is>
          <t>Show a basic generic KV store with lazy expiry in C#.</t>
        </is>
      </c>
      <c r="F633" s="13" t="inlineStr">
        <is>
          <t>Lazy expiry checks the timestamp on read and deletes stale entries.
```csharp
public class KvStore&lt;TKey, TValue&gt; where TKey : notnull {
    private record Entry(TValue Value, DateTime? ExpiresAt);
    private readonly ConcurrentDictionary&lt;TKey, Entry&gt; _map = new();
    public void Put(TKey k, TValue v, TimeSpan? ttl = null) =&gt;
        _map[k] = new Entry(v, ttl is null ? null : DateTime.UtcNow + ttl);
    public bool TryGet(TKey k, out TValue? v) {
        v = default;
        if (!_map.TryGetValue(k, out var e)) return false;
        if (e.ExpiresAt &lt;= DateTime.UtcNow) { _map.TryRemove(k, out _); return false; }
        v = e.Value; return true;
    }
}
```</t>
        </is>
      </c>
      <c r="G633" s="13" t="inlineStr"/>
    </row>
    <row r="634">
      <c r="A634" s="13" t="n">
        <v>53</v>
      </c>
      <c r="B634" s="24" t="n">
        <v>46345</v>
      </c>
      <c r="C634" s="13" t="inlineStr">
        <is>
          <t>LLD</t>
        </is>
      </c>
      <c r="D634" s="16" t="inlineStr">
        <is>
          <t>Intermediate</t>
        </is>
      </c>
      <c r="E634" s="13" t="inlineStr">
        <is>
          <t>Lazy vs active expiry - what is the difference and why use both?</t>
        </is>
      </c>
      <c r="F634" s="13" t="inlineStr">
        <is>
          <t>Lazy expiry removes a key only when it is accessed and found expired; it costs nothing for untouched keys but expired keys that are never read leak memory. Active expiry uses a background timer that periodically samples or scans keys and removes expired ones. Redis combines both: lazy checks on access plus a periodic job that samples random keys with TTLs. Use both to keep reads correct and memory bounded.</t>
        </is>
      </c>
      <c r="G634" s="13" t="inlineStr"/>
    </row>
    <row r="635">
      <c r="A635" s="13" t="n">
        <v>53</v>
      </c>
      <c r="B635" s="24" t="n">
        <v>46345</v>
      </c>
      <c r="C635" s="13" t="inlineStr">
        <is>
          <t>LLD</t>
        </is>
      </c>
      <c r="D635" s="16" t="inlineStr">
        <is>
          <t>Intermediate</t>
        </is>
      </c>
      <c r="E635" s="13" t="inlineStr">
        <is>
          <t>How do you make active expiry efficient instead of scanning every key?</t>
        </is>
      </c>
      <c r="F635" s="13" t="inlineStr">
        <is>
          <t>Keep a min-heap (PriorityQueue&lt;TKey, DateTime&gt; in .NET 6+) ordered by expiry time; the cleaner pops entries while the top is expired. Because a key may be overwritten with a new TTL, verify the heap entry's expiry still matches the current entry before deleting (or store a version). Alternatives are a timing wheel of buckets per second, or Redis-style random sampling, which avoids extra memory.</t>
        </is>
      </c>
      <c r="G635" s="13" t="inlineStr"/>
    </row>
    <row r="636">
      <c r="A636" s="13" t="n">
        <v>53</v>
      </c>
      <c r="B636" s="24" t="n">
        <v>46345</v>
      </c>
      <c r="C636" s="13" t="inlineStr">
        <is>
          <t>LLD</t>
        </is>
      </c>
      <c r="D636" s="17" t="inlineStr">
        <is>
          <t>Advanced</t>
        </is>
      </c>
      <c r="E636" s="13" t="inlineStr">
        <is>
          <t>How do you ensure thread safety for Put, Get and the background cleaner?</t>
        </is>
      </c>
      <c r="F636" s="13" t="inlineStr">
        <is>
          <t>ConcurrentDictionary makes single operations atomic, but compound actions like check-expiry-then-remove can race with a concurrent Put. Use the TryRemove(KeyValuePair) overload so you only remove the exact stale entry you saw, or use a ReaderWriterLockSlim around compound operations. The cleaner runs on a PeriodicTimer or Timer and must not hold locks for long; process in small batches. Inject a clock (TimeProvider or IClock) so expiry is testable.</t>
        </is>
      </c>
      <c r="G636" s="13" t="inlineStr"/>
    </row>
    <row r="637">
      <c r="A637" s="13" t="n">
        <v>53</v>
      </c>
      <c r="B637" s="24" t="n">
        <v>46345</v>
      </c>
      <c r="C637" s="13" t="inlineStr">
        <is>
          <t>LLD</t>
        </is>
      </c>
      <c r="D637" s="17" t="inlineStr">
        <is>
          <t>Advanced</t>
        </is>
      </c>
      <c r="E637" s="13" t="inlineStr">
        <is>
          <t>How would you add capacity limits, eviction and persistence to this store?</t>
        </is>
      </c>
      <c r="F637" s="13" t="inlineStr">
        <is>
          <t>Add a max size and an eviction policy behind an IEvictionPolicy (LRU using a dictionary plus a linked list, LFU using frequency buckets), notified on every access and insert. For persistence, either take periodic snapshots (serialize the map, like Redis RDB) or append every write to a log (like AOF) and replay it on startup, possibly compacted. Also consider transactions (compare-and-set via a version) and eviction callbacks for observers.</t>
        </is>
      </c>
      <c r="G637" s="13" t="inlineStr"/>
    </row>
    <row r="638">
      <c r="A638" s="13" t="n">
        <v>54</v>
      </c>
      <c r="B638" s="24" t="n">
        <v>46346</v>
      </c>
      <c r="C638" s="13" t="inlineStr">
        <is>
          <t>HLD</t>
        </is>
      </c>
      <c r="D638" s="18" t="inlineStr">
        <is>
          <t>Basic</t>
        </is>
      </c>
      <c r="E638" s="13" t="inlineStr">
        <is>
          <t>Rapid fire: explain cache-aside, read-through, write-through and write-behind.</t>
        </is>
      </c>
      <c r="F638" s="13" t="inlineStr">
        <is>
          <t>- Cache-aside: app checks cache, on miss reads DB and fills the cache; most common, app owns the logic.
- Read-through: the cache itself loads from the DB on a miss.
- Write-through: writes go to cache and DB synchronously; consistent but slower writes.
- Write-behind: write to cache and flush to DB asynchronously; fast but risks data loss.
- Write-around: write only to DB and let reads populate the cache.</t>
        </is>
      </c>
      <c r="G638" s="13" t="inlineStr"/>
    </row>
    <row r="639">
      <c r="A639" s="13" t="n">
        <v>54</v>
      </c>
      <c r="B639" s="24" t="n">
        <v>46346</v>
      </c>
      <c r="C639" s="13" t="inlineStr">
        <is>
          <t>HLD</t>
        </is>
      </c>
      <c r="D639" s="18" t="inlineStr">
        <is>
          <t>Basic</t>
        </is>
      </c>
      <c r="E639" s="13" t="inlineStr">
        <is>
          <t>What is a CDN and what content should go through it?</t>
        </is>
      </c>
      <c r="F639" s="13" t="inlineStr">
        <is>
          <t>A CDN is a network of edge servers that cache content close to users, cutting latency and origin load. Static assets (JS, CSS, images, video) and cacheable public API responses belong there, controlled by Cache-Control headers and TTLs. Personalised or private data should not be cached at the edge unless the cache key includes the user or you use signed URLs. Azure Front Door and Azure CDN map to AWS CloudFront.</t>
        </is>
      </c>
      <c r="G639" s="13" t="inlineStr"/>
    </row>
    <row r="640">
      <c r="A640" s="13" t="n">
        <v>54</v>
      </c>
      <c r="B640" s="24" t="n">
        <v>46346</v>
      </c>
      <c r="C640" s="13" t="inlineStr">
        <is>
          <t>HLD</t>
        </is>
      </c>
      <c r="D640" s="16" t="inlineStr">
        <is>
          <t>Intermediate</t>
        </is>
      </c>
      <c r="E640" s="13" t="inlineStr">
        <is>
          <t>In cache-aside, should you update or delete the cache on writes, and why?</t>
        </is>
      </c>
      <c r="F640" s="13" t="inlineStr">
        <is>
          <t>Delete (invalidate) after writing to the DB. Updating the cache can leave a stale value if two writers race and their cache updates land out of order, and it wastes work for keys that are never read again. With delete, the next read reloads the fresh value. A small race remains (a reader loads an old value just before the delete finishes), so add TTLs as a safety net or use delayed double delete.</t>
        </is>
      </c>
      <c r="G640" s="13" t="inlineStr"/>
    </row>
    <row r="641">
      <c r="A641" s="13" t="n">
        <v>54</v>
      </c>
      <c r="B641" s="24" t="n">
        <v>46346</v>
      </c>
      <c r="C641" s="13" t="inlineStr">
        <is>
          <t>HLD</t>
        </is>
      </c>
      <c r="D641" s="16" t="inlineStr">
        <is>
          <t>Intermediate</t>
        </is>
      </c>
      <c r="E641" s="13" t="inlineStr">
        <is>
          <t>How do you invalidate CDN content when it changes?</t>
        </is>
      </c>
      <c r="F641" s="13" t="inlineStr">
        <is>
          <t>Prefer versioned (fingerprinted) URLs such as app.3f9a1c.js with a long max-age and immutable, so a deploy changes the URL and no purge is needed. For content with stable URLs, use shorter TTLs, stale-while-revalidate, or explicit purge APIs (Front Door purge, CloudFront invalidation), which are slower and sometimes billed. Tag-based purge (surrogate keys) lets you invalidate groups of objects together.</t>
        </is>
      </c>
      <c r="G641" s="13" t="inlineStr"/>
    </row>
    <row r="642">
      <c r="A642" s="13" t="n">
        <v>54</v>
      </c>
      <c r="B642" s="24" t="n">
        <v>46346</v>
      </c>
      <c r="C642" s="13" t="inlineStr">
        <is>
          <t>HLD</t>
        </is>
      </c>
      <c r="D642" s="17" t="inlineStr">
        <is>
          <t>Advanced</t>
        </is>
      </c>
      <c r="E642" s="13" t="inlineStr">
        <is>
          <t>What are cache stampede, penetration and avalanche, and how do you prevent each?</t>
        </is>
      </c>
      <c r="F642" s="13" t="inlineStr">
        <is>
          <t>- Stampede (thundering herd): a hot key expires and many requests hit the DB at once; fix with a per-key lock or single-flight, early probabilistic refresh, or serving stale while one request refreshes.
- Penetration: repeated requests for keys that do not exist; cache null results with short TTLs or use a Bloom filter.
- Avalanche: many keys expire together or the cache node dies; add random jitter to TTLs and use replicated caches with circuit breakers.</t>
        </is>
      </c>
      <c r="G642" s="13" t="inlineStr"/>
    </row>
    <row r="643">
      <c r="A643" s="13" t="n">
        <v>54</v>
      </c>
      <c r="B643" s="24" t="n">
        <v>46346</v>
      </c>
      <c r="C643" s="13" t="inlineStr">
        <is>
          <t>HLD</t>
        </is>
      </c>
      <c r="D643" s="17" t="inlineStr">
        <is>
          <t>Advanced</t>
        </is>
      </c>
      <c r="E643" s="13" t="inlineStr">
        <is>
          <t>How would you design caching for a read-heavy product catalogue in .NET on Azure?</t>
        </is>
      </c>
      <c r="F643" s="13" t="inlineStr">
        <is>
          <t>Layer it: Front Door or CDN for images and anonymous cacheable GET responses; Azure Cache for Redis as a distributed cache-aside layer for product details (keys like product:{id}:v{version}); and a small in-process IMemoryCache for ultra-hot data with short TTLs (or HybridCache in .NET 9 that combines both with stampede protection). When a product changes, publish an event that deletes the Redis key and, if needed, purges the CDN path. Monitor hit ratio, evictions and latency.</t>
        </is>
      </c>
      <c r="G643" s="13" t="inlineStr"/>
    </row>
    <row r="644">
      <c r="A644" s="13" t="n">
        <v>54</v>
      </c>
      <c r="B644" s="24" t="n">
        <v>46346</v>
      </c>
      <c r="C644" s="13" t="inlineStr">
        <is>
          <t>LLD</t>
        </is>
      </c>
      <c r="D644" s="18" t="inlineStr">
        <is>
          <t>Basic</t>
        </is>
      </c>
      <c r="E644" s="13" t="inlineStr">
        <is>
          <t>Rapid fire: what data structures does an LRU cache use and why?</t>
        </is>
      </c>
      <c r="F644" s="13" t="inlineStr">
        <is>
          <t>A Dictionary&lt;TKey, LinkedListNode&lt;Entry&gt;&gt; for O(1) lookup, plus a doubly linked list ordered by recency (most recent at the head). On get, move the node to the head; on put, insert at the head and, if over capacity, remove the tail node and its dictionary entry. Both operations are O(1).</t>
        </is>
      </c>
      <c r="G644" s="13" t="inlineStr"/>
    </row>
    <row r="645">
      <c r="A645" s="13" t="n">
        <v>54</v>
      </c>
      <c r="B645" s="24" t="n">
        <v>46346</v>
      </c>
      <c r="C645" s="13" t="inlineStr">
        <is>
          <t>LLD</t>
        </is>
      </c>
      <c r="D645" s="18" t="inlineStr">
        <is>
          <t>Basic</t>
        </is>
      </c>
      <c r="E645" s="13" t="inlineStr">
        <is>
          <t>Why must the linked list store the key as well as the value?</t>
        </is>
      </c>
      <c r="F645" s="13" t="inlineStr">
        <is>
          <t>When evicting the tail node, you need its key to remove the corresponding entry from the dictionary. Without the key in the node you would have to search the dictionary, which is O(n). This is a very common bug in interviews.</t>
        </is>
      </c>
      <c r="G645" s="13" t="inlineStr"/>
    </row>
    <row r="646">
      <c r="A646" s="13" t="n">
        <v>54</v>
      </c>
      <c r="B646" s="24" t="n">
        <v>46346</v>
      </c>
      <c r="C646" s="13" t="inlineStr">
        <is>
          <t>LLD</t>
        </is>
      </c>
      <c r="D646" s="16" t="inlineStr">
        <is>
          <t>Intermediate</t>
        </is>
      </c>
      <c r="E646" s="13" t="inlineStr">
        <is>
          <t>Write the core of an LRU cache in C# using LinkedList.</t>
        </is>
      </c>
      <c r="F646" s="13" t="inlineStr">
        <is>
          <t>Dictionary for lookup, LinkedList for recency order.
```csharp
public class LruCache&lt;K, V&gt; where K : notnull {
    private readonly int _cap;
    private readonly Dictionary&lt;K, LinkedListNode&lt;(K Key, V Val)&gt;&gt; _map = new();
    private readonly LinkedList&lt;(K Key, V Val)&gt; _list = new();
    public LruCache(int cap) =&gt; _cap = cap;
    public bool TryGet(K k, out V v) {
        v = default!; if (!_map.TryGetValue(k, out var n)) return false;
        _list.Remove(n); _list.AddFirst(n); v = n.Value.Val; return true;
    }
    // Put: if exists remove old node; AddFirst; if Count &gt; _cap remove _list.Last and its key.
}
```</t>
        </is>
      </c>
      <c r="G646" s="13" t="inlineStr"/>
    </row>
    <row r="647">
      <c r="A647" s="13" t="n">
        <v>54</v>
      </c>
      <c r="B647" s="24" t="n">
        <v>46346</v>
      </c>
      <c r="C647" s="13" t="inlineStr">
        <is>
          <t>LLD</t>
        </is>
      </c>
      <c r="D647" s="16" t="inlineStr">
        <is>
          <t>Intermediate</t>
        </is>
      </c>
      <c r="E647" s="13" t="inlineStr">
        <is>
          <t>How do you handle Put when the key already exists?</t>
        </is>
      </c>
      <c r="F647" s="13" t="inlineStr">
        <is>
          <t>Update the value and move the node to the head; the size does not change, so no eviction is needed. With value tuples in LinkedListNode you can assign node.Value = (k, newValue) since the node's Value property is settable, then move it. Forgetting to move it to the head (so an updated key gets evicted early) is a common mistake.</t>
        </is>
      </c>
      <c r="G647" s="13" t="inlineStr"/>
    </row>
    <row r="648">
      <c r="A648" s="13" t="n">
        <v>54</v>
      </c>
      <c r="B648" s="24" t="n">
        <v>46346</v>
      </c>
      <c r="C648" s="13" t="inlineStr">
        <is>
          <t>LLD</t>
        </is>
      </c>
      <c r="D648" s="17" t="inlineStr">
        <is>
          <t>Advanced</t>
        </is>
      </c>
      <c r="E648" s="13" t="inlineStr">
        <is>
          <t>How would you make the LRU cache thread-safe, and why does ConcurrentDictionary alone not solve it?</t>
        </is>
      </c>
      <c r="F648" s="13" t="inlineStr">
        <is>
          <t>Every get mutates the linked list (moving a node), so reads are writes, and the dictionary and list must be updated together atomically. ConcurrentDictionary protects only the map, not the list or the combined invariant. The simple correct solution is a single lock around get and put. For high concurrency, shard the cache into N independent LRU segments by key hash, each with its own lock, or use approximate LRU with access buffers (as Caffeine does).</t>
        </is>
      </c>
      <c r="G648" s="13" t="inlineStr"/>
    </row>
    <row r="649">
      <c r="A649" s="13" t="n">
        <v>54</v>
      </c>
      <c r="B649" s="24" t="n">
        <v>46346</v>
      </c>
      <c r="C649" s="13" t="inlineStr">
        <is>
          <t>LLD</t>
        </is>
      </c>
      <c r="D649" s="17" t="inlineStr">
        <is>
          <t>Advanced</t>
        </is>
      </c>
      <c r="E649" s="13" t="inlineStr">
        <is>
          <t>How would you add TTL to the LRU cache, and how does LRU compare to LFU?</t>
        </is>
      </c>
      <c r="F649" s="13" t="inlineStr">
        <is>
          <t>Store ExpiresAt in each node and check it on get (lazy expiry), treating an expired entry as a miss and removing it; optionally a background sweep removes expired tail items. LRU evicts the least recently used and adapts quickly to changing patterns but is hurt by one-off scans that flush hot items. LFU evicts the least frequently used and keeps long-term popular items but reacts slowly and needs ageing. Hybrids like W-TinyLFU combine both.</t>
        </is>
      </c>
      <c r="G649" s="13" t="inlineStr"/>
    </row>
    <row r="650">
      <c r="A650" s="13" t="n">
        <v>55</v>
      </c>
      <c r="B650" s="24" t="n">
        <v>46347</v>
      </c>
      <c r="C650" s="13" t="inlineStr">
        <is>
          <t>HLD</t>
        </is>
      </c>
      <c r="D650" s="18" t="inlineStr">
        <is>
          <t>Basic</t>
        </is>
      </c>
      <c r="E650" s="13" t="inlineStr">
        <is>
          <t>What are the core components of a web crawler?</t>
        </is>
      </c>
      <c r="F650" s="13" t="inlineStr">
        <is>
          <t>- Seed URLs and a URL frontier (queue of URLs to crawl, with priority and politeness).
- DNS resolver cache.
- Fetchers (HTTP download workers).
- Parser/extractor: pulls links and content.
- Dedupe: seen-URL set and content fingerprinting.
- Content storage (object store) and metadata DB.
New links are normalised, filtered and fed back into the frontier.</t>
        </is>
      </c>
      <c r="G650" s="13" t="inlineStr"/>
    </row>
    <row r="651">
      <c r="A651" s="13" t="n">
        <v>55</v>
      </c>
      <c r="B651" s="24" t="n">
        <v>46347</v>
      </c>
      <c r="C651" s="13" t="inlineStr">
        <is>
          <t>HLD</t>
        </is>
      </c>
      <c r="D651" s="18" t="inlineStr">
        <is>
          <t>Basic</t>
        </is>
      </c>
      <c r="E651" s="13" t="inlineStr">
        <is>
          <t>Why is BFS usually preferred over DFS for crawling?</t>
        </is>
      </c>
      <c r="F651" s="13" t="inlineStr">
        <is>
          <t>BFS discovers pages close to the seeds first, which tend to be more important and gives broad coverage early. DFS can go very deep into one site (and into infinite calendars or spider traps) before seeing the rest of the web. In practice the frontier is a prioritised BFS, where priority reflects PageRank-like importance and freshness.</t>
        </is>
      </c>
      <c r="G651" s="13" t="inlineStr"/>
    </row>
    <row r="652">
      <c r="A652" s="13" t="n">
        <v>55</v>
      </c>
      <c r="B652" s="24" t="n">
        <v>46347</v>
      </c>
      <c r="C652" s="13" t="inlineStr">
        <is>
          <t>HLD</t>
        </is>
      </c>
      <c r="D652" s="16" t="inlineStr">
        <is>
          <t>Intermediate</t>
        </is>
      </c>
      <c r="E652" s="13" t="inlineStr">
        <is>
          <t>What does politeness mean and how does the URL frontier enforce it?</t>
        </is>
      </c>
      <c r="F652" s="13" t="inlineStr">
        <is>
          <t>Politeness means not overwhelming any single host: obey robots.txt rules and Crawl-delay, keep one connection or a few per host, and wait between requests. The frontier has front queues by priority and back queues by host; each back queue maps to one host and a worker only takes from a host after its next-allowed time (a min-heap of host ready times). robots.txt is fetched and cached per domain before crawling.</t>
        </is>
      </c>
      <c r="G652" s="13" t="inlineStr"/>
    </row>
    <row r="653">
      <c r="A653" s="13" t="n">
        <v>55</v>
      </c>
      <c r="B653" s="24" t="n">
        <v>46347</v>
      </c>
      <c r="C653" s="13" t="inlineStr">
        <is>
          <t>HLD</t>
        </is>
      </c>
      <c r="D653" s="16" t="inlineStr">
        <is>
          <t>Intermediate</t>
        </is>
      </c>
      <c r="E653" s="13" t="inlineStr">
        <is>
          <t>How do you detect duplicate URLs and duplicate content?</t>
        </is>
      </c>
      <c r="F653" s="13" t="inlineStr">
        <is>
          <t>Normalise URLs first (lowercase host, remove fragments, sort query parameters, resolve relative paths) and check a seen-URL set; at billions of URLs, use a Bloom filter or a distributed KV set of URL hashes. For content, compute a hash (for example SHA-256) of the page to catch exact copies, and SimHash or MinHash to catch near-duplicates like pages that differ only in ads or timestamps.</t>
        </is>
      </c>
      <c r="G653" s="13" t="inlineStr"/>
    </row>
    <row r="654">
      <c r="A654" s="13" t="n">
        <v>55</v>
      </c>
      <c r="B654" s="24" t="n">
        <v>46347</v>
      </c>
      <c r="C654" s="13" t="inlineStr">
        <is>
          <t>HLD</t>
        </is>
      </c>
      <c r="D654" s="17" t="inlineStr">
        <is>
          <t>Advanced</t>
        </is>
      </c>
      <c r="E654" s="13" t="inlineStr">
        <is>
          <t>How do you scale the crawler to billions of pages?</t>
        </is>
      </c>
      <c r="F654" s="13" t="inlineStr">
        <is>
          <t>Partition the frontier and seen-set by hostname hash so each crawler node owns a set of hosts, which keeps politeness local and avoids cross-node coordination. Fetchers are async and I/O-bound (thousands of concurrent requests per node), with a local DNS cache. Store raw pages in object storage and push them to parsers via a queue. Estimate: 1B pages/month is about 400 pages/sec, x 100 KB = 40 MB/sec, about 100 TB/month.</t>
        </is>
      </c>
      <c r="G654" s="13" t="inlineStr"/>
    </row>
    <row r="655">
      <c r="A655" s="13" t="n">
        <v>55</v>
      </c>
      <c r="B655" s="24" t="n">
        <v>46347</v>
      </c>
      <c r="C655" s="13" t="inlineStr">
        <is>
          <t>HLD</t>
        </is>
      </c>
      <c r="D655" s="17" t="inlineStr">
        <is>
          <t>Advanced</t>
        </is>
      </c>
      <c r="E655" s="13" t="inlineStr">
        <is>
          <t>How do you handle spider traps, failures and recrawling for freshness?</t>
        </is>
      </c>
      <c r="F655" s="13" t="inlineStr">
        <is>
          <t>Spider traps (infinite calendars, session IDs in URLs) are limited by max URL length, max depth per site, max pages per host and pattern blacklists. Failed fetches are retried with backoff and hosts with repeated errors are deprioritised. For freshness, schedule recrawls based on each page's observed change rate and importance, and use conditional requests (If-Modified-Since, ETag) to avoid downloading unchanged pages.</t>
        </is>
      </c>
      <c r="G655" s="13" t="inlineStr"/>
    </row>
    <row r="656">
      <c r="A656" s="13" t="n">
        <v>55</v>
      </c>
      <c r="B656" s="24" t="n">
        <v>46347</v>
      </c>
      <c r="C656" s="13" t="inlineStr">
        <is>
          <t>LLD</t>
        </is>
      </c>
      <c r="D656" s="18" t="inlineStr">
        <is>
          <t>Basic</t>
        </is>
      </c>
      <c r="E656" s="13" t="inlineStr">
        <is>
          <t>What does a cache with pluggable eviction look like at a class level?</t>
        </is>
      </c>
      <c r="F656" s="13" t="inlineStr">
        <is>
          <t>A Cache&lt;K, V&gt; class owns the storage (a dictionary) and capacity, and delegates the decision of which key to evict to an IEvictionPolicy&lt;K&gt;. The cache calls policy.KeyAccessed(key) on get and put, and policy.Evict() when full to get the victim key. LruPolicy and LfuPolicy implement the interface, and the policy is injected through the constructor.</t>
        </is>
      </c>
      <c r="G656" s="13" t="inlineStr"/>
    </row>
    <row r="657">
      <c r="A657" s="13" t="n">
        <v>55</v>
      </c>
      <c r="B657" s="24" t="n">
        <v>46347</v>
      </c>
      <c r="C657" s="13" t="inlineStr">
        <is>
          <t>LLD</t>
        </is>
      </c>
      <c r="D657" s="18" t="inlineStr">
        <is>
          <t>Basic</t>
        </is>
      </c>
      <c r="E657" s="13" t="inlineStr">
        <is>
          <t>Which design pattern is this and what principle does it follow?</t>
        </is>
      </c>
      <c r="F657" s="13" t="inlineStr">
        <is>
          <t>It is the Strategy pattern: the eviction algorithm is a family of interchangeable behaviours selected at runtime. It follows the Open/Closed principle (add FifoPolicy without modifying Cache), Single Responsibility (storage vs eviction decision) and Dependency Inversion (Cache depends on an abstraction). It also makes each policy independently unit-testable.</t>
        </is>
      </c>
      <c r="G657" s="13" t="inlineStr"/>
    </row>
    <row r="658">
      <c r="A658" s="13" t="n">
        <v>55</v>
      </c>
      <c r="B658" s="24" t="n">
        <v>46347</v>
      </c>
      <c r="C658" s="13" t="inlineStr">
        <is>
          <t>LLD</t>
        </is>
      </c>
      <c r="D658" s="16" t="inlineStr">
        <is>
          <t>Intermediate</t>
        </is>
      </c>
      <c r="E658" s="13" t="inlineStr">
        <is>
          <t>Show the eviction policy interface and how the cache uses it.</t>
        </is>
      </c>
      <c r="F658" s="13" t="inlineStr">
        <is>
          <t>The cache never knows which policy it is using.
```csharp
public interface IEvictionPolicy&lt;K&gt; {
    void KeyAccessed(K key);
    void KeyRemoved(K key);
    K Evict();
}
public void Put(K key, V value) {
    if (!_store.ContainsKey(key) &amp;&amp; _store.Count &gt;= _capacity)
        _store.Remove(_policy.Evict());
    _store[key] = value;
    _policy.KeyAccessed(key);
}
```</t>
        </is>
      </c>
      <c r="G658" s="13" t="inlineStr"/>
    </row>
    <row r="659">
      <c r="A659" s="13" t="n">
        <v>55</v>
      </c>
      <c r="B659" s="24" t="n">
        <v>46347</v>
      </c>
      <c r="C659" s="13" t="inlineStr">
        <is>
          <t>LLD</t>
        </is>
      </c>
      <c r="D659" s="16" t="inlineStr">
        <is>
          <t>Intermediate</t>
        </is>
      </c>
      <c r="E659" s="13" t="inlineStr">
        <is>
          <t>How do you implement LFU in O(1)?</t>
        </is>
      </c>
      <c r="F659" s="13" t="inlineStr">
        <is>
          <t>Keep three maps: key to (value, freq), freq to an ordered set of keys (a LinkedList per frequency, most recent last, for LRU tie-breaking), and track minFreq. On access, move the key from list[freq] to list[freq + 1], and if list[minFreq] becomes empty and freq == minFreq, increment minFreq. On insert, freq = 1 and minFreq = 1. Evict the first key of list[minFreq]. Each step is O(1).</t>
        </is>
      </c>
      <c r="G659" s="13" t="inlineStr"/>
    </row>
    <row r="660">
      <c r="A660" s="13" t="n">
        <v>55</v>
      </c>
      <c r="B660" s="24" t="n">
        <v>46347</v>
      </c>
      <c r="C660" s="13" t="inlineStr">
        <is>
          <t>LLD</t>
        </is>
      </c>
      <c r="D660" s="17" t="inlineStr">
        <is>
          <t>Advanced</t>
        </is>
      </c>
      <c r="E660" s="13" t="inlineStr">
        <is>
          <t>How would you let a user choose the policy via configuration in ASP.NET Core?</t>
        </is>
      </c>
      <c r="F660" s="13" t="inlineStr">
        <is>
          <t>Register a factory that reads options and returns the matching policy, then inject the cache.
- Bind CacheOptions { Capacity, Policy = "LRU" } from appsettings.
- services.AddSingleton&lt;IEvictionPolicy&lt;string&gt;&gt;(sp =&gt; factory.Create(options.Policy)).
- Register Cache&lt;string, V&gt; as a singleton that takes the policy.
Alternatively use keyed services in .NET 8 (AddKeyedSingleton) and resolve by name. A dictionary of name to Func&lt;IEvictionPolicy&gt; avoids a growing switch statement.</t>
        </is>
      </c>
      <c r="G660" s="13" t="inlineStr"/>
    </row>
    <row r="661">
      <c r="A661" s="13" t="n">
        <v>55</v>
      </c>
      <c r="B661" s="24" t="n">
        <v>46347</v>
      </c>
      <c r="C661" s="13" t="inlineStr">
        <is>
          <t>LLD</t>
        </is>
      </c>
      <c r="D661" s="17" t="inlineStr">
        <is>
          <t>Advanced</t>
        </is>
      </c>
      <c r="E661" s="13" t="inlineStr">
        <is>
          <t>What are the edge cases and trade-offs of separating storage and eviction policy?</t>
        </is>
      </c>
      <c r="F661" s="13" t="inlineStr">
        <is>
          <t>The two structures must stay in sync: updating an existing key must not trigger eviction, deletes must call policy.KeyRemoved, and expired entries must be removed from both. Thread safety must cover both together, usually with one lock in Cache since the policy is not thread-safe itself. The extra indirection and duplicate key storage cost some memory and speed compared with a fused LRU. Consider an eviction listener (Observer) so callers can react to evicted items.</t>
        </is>
      </c>
      <c r="G661" s="13" t="inlineStr"/>
    </row>
    <row r="662">
      <c r="A662" s="13" t="n">
        <v>56</v>
      </c>
      <c r="B662" s="24" t="n">
        <v>46348</v>
      </c>
      <c r="C662" s="13" t="inlineStr">
        <is>
          <t>HLD</t>
        </is>
      </c>
      <c r="D662" s="18" t="inlineStr">
        <is>
          <t>Basic</t>
        </is>
      </c>
      <c r="E662" s="13" t="inlineStr">
        <is>
          <t>Rapid fire: what are the key components of a notification system v2?</t>
        </is>
      </c>
      <c r="F662" s="13" t="inlineStr">
        <is>
          <t>Notification API, preference and quiet-hours service, template service, priority queues per channel, channel workers calling providers, retry with backoff plus DLQ, per-user and per-provider rate limits and a notification log for dedupe and tracking. OTPs and transactional messages take a high-priority path that bypasses marketing limits.</t>
        </is>
      </c>
      <c r="G662" s="13" t="inlineStr"/>
    </row>
    <row r="663">
      <c r="A663" s="13" t="n">
        <v>56</v>
      </c>
      <c r="B663" s="24" t="n">
        <v>46348</v>
      </c>
      <c r="C663" s="13" t="inlineStr">
        <is>
          <t>HLD</t>
        </is>
      </c>
      <c r="D663" s="18" t="inlineStr">
        <is>
          <t>Basic</t>
        </is>
      </c>
      <c r="E663" s="13" t="inlineStr">
        <is>
          <t>Rapid fire: what are the numbers you should always carry into an estimation?</t>
        </is>
      </c>
      <c r="F663" s="13" t="inlineStr">
        <is>
          <t>1 day is about 100k seconds; 1M/day is about 12 QPS; peak is 2-3x average; storage = daily writes x size x retention x replication; bandwidth = QPS x payload. One app node handles roughly 1k-5k QPS, one Redis node about 100k ops/sec, one relational primary a few thousand writes/sec. Always state assumptions first.</t>
        </is>
      </c>
      <c r="G663" s="13" t="inlineStr"/>
    </row>
    <row r="664">
      <c r="A664" s="13" t="n">
        <v>56</v>
      </c>
      <c r="B664" s="24" t="n">
        <v>46348</v>
      </c>
      <c r="C664" s="13" t="inlineStr">
        <is>
          <t>HLD</t>
        </is>
      </c>
      <c r="D664" s="16" t="inlineStr">
        <is>
          <t>Intermediate</t>
        </is>
      </c>
      <c r="E664" s="13" t="inlineStr">
        <is>
          <t>Rapid fire: summarise the Pastebin design.</t>
        </is>
      </c>
      <c r="F664" s="13" t="inlineStr">
        <is>
          <t>Write once, read many: metadata (key, owner, expiry, visibility, blob pointer) in a DB and content in object storage. Keys are random base62 or from a key generation service. Reads go through CDN and Redis since content is immutable. Expiry is checked on read and cleaned up by background jobs and blob lifecycle rules; private pastes use auth and signed URLs.</t>
        </is>
      </c>
      <c r="G664" s="13" t="inlineStr"/>
    </row>
    <row r="665">
      <c r="A665" s="13" t="n">
        <v>56</v>
      </c>
      <c r="B665" s="24" t="n">
        <v>46348</v>
      </c>
      <c r="C665" s="13" t="inlineStr">
        <is>
          <t>HLD</t>
        </is>
      </c>
      <c r="D665" s="16" t="inlineStr">
        <is>
          <t>Intermediate</t>
        </is>
      </c>
      <c r="E665" s="13" t="inlineStr">
        <is>
          <t>Rapid fire: redraw the key-value store design in words.</t>
        </is>
      </c>
      <c r="F665" s="13" t="inlineStr">
        <is>
          <t>Client -&gt; coordinator node -&gt; consistent-hash ring with virtual nodes -&gt; N replicas per key. Quorum reads and writes with R + W &gt; N for strong consistency. Conflicts resolved by LWW or vector clocks. Failures handled with sloppy quorum and hinted handoff, read repair and Merkle-tree anti-entropy; membership via gossip. Each node stores data in an LSM tree with commit log, memtable, SSTables, Bloom filters and compaction.</t>
        </is>
      </c>
      <c r="G665" s="13" t="inlineStr"/>
    </row>
    <row r="666">
      <c r="A666" s="13" t="n">
        <v>56</v>
      </c>
      <c r="B666" s="24" t="n">
        <v>46348</v>
      </c>
      <c r="C666" s="13" t="inlineStr">
        <is>
          <t>HLD</t>
        </is>
      </c>
      <c r="D666" s="17" t="inlineStr">
        <is>
          <t>Advanced</t>
        </is>
      </c>
      <c r="E666" s="13" t="inlineStr">
        <is>
          <t>Rapid fire: redraw the web crawler design in words.</t>
        </is>
      </c>
      <c r="F666" s="13" t="inlineStr">
        <is>
          <t>Seed URLs -&gt; URL frontier (priority front queues, per-host back queues for politeness) -&gt; async fetchers with DNS cache and robots.txt cache -&gt; content stored in object storage -&gt; parser extracts links -&gt; URL normaliser and seen-set (Bloom filter) -&gt; back into the frontier. Content dedupe by hash or SimHash. Scale by partitioning hosts across nodes; guard against spider traps with depth and per-host limits.</t>
        </is>
      </c>
      <c r="G666" s="13" t="inlineStr"/>
    </row>
    <row r="667">
      <c r="A667" s="13" t="n">
        <v>56</v>
      </c>
      <c r="B667" s="24" t="n">
        <v>46348</v>
      </c>
      <c r="C667" s="13" t="inlineStr">
        <is>
          <t>HLD</t>
        </is>
      </c>
      <c r="D667" s="17" t="inlineStr">
        <is>
          <t>Advanced</t>
        </is>
      </c>
      <c r="E667" s="13" t="inlineStr">
        <is>
          <t>Rapid fire: which weak spots are common in Phase 3 HLD topics, and how do you fix them?</t>
        </is>
      </c>
      <c r="F667" s="13" t="inlineStr">
        <is>
          <t>- Forgetting to justify the storage choice from estimates: always tie numbers to decisions.
- Hand-waving consistency: be ready to explain R + W &gt; N and what happens when a replica is down.
- Missing failure paths: retries, DLQs, idempotency keys.
- Ignoring caching stampede and invalidation.
Fix by whiteboarding each design in 25 minutes and explaining it out loud end to end.</t>
        </is>
      </c>
      <c r="G667" s="13" t="inlineStr"/>
    </row>
    <row r="668">
      <c r="A668" s="13" t="n">
        <v>56</v>
      </c>
      <c r="B668" s="24" t="n">
        <v>46348</v>
      </c>
      <c r="C668" s="13" t="inlineStr">
        <is>
          <t>LLD</t>
        </is>
      </c>
      <c r="D668" s="18" t="inlineStr">
        <is>
          <t>Basic</t>
        </is>
      </c>
      <c r="E668" s="13" t="inlineStr">
        <is>
          <t>Rapid fire: what does an in-memory KV store with TTL need?</t>
        </is>
      </c>
      <c r="F668" s="13" t="inlineStr">
        <is>
          <t>A dictionary of key to Entry(Value, ExpiresAt), Get/Put/Delete, lazy expiry on read, active expiry via a background timer with a min-heap or sampling, thread safety (ConcurrentDictionary plus care on compound operations) and an injectable clock for tests.</t>
        </is>
      </c>
      <c r="G668" s="13" t="inlineStr"/>
    </row>
    <row r="669">
      <c r="A669" s="13" t="n">
        <v>56</v>
      </c>
      <c r="B669" s="24" t="n">
        <v>46348</v>
      </c>
      <c r="C669" s="13" t="inlineStr">
        <is>
          <t>LLD</t>
        </is>
      </c>
      <c r="D669" s="18" t="inlineStr">
        <is>
          <t>Basic</t>
        </is>
      </c>
      <c r="E669" s="13" t="inlineStr">
        <is>
          <t>Rapid fire: what is the difference between LRU, LFU and FIFO eviction?</t>
        </is>
      </c>
      <c r="F669" s="13" t="inlineStr">
        <is>
          <t>- FIFO evicts the oldest inserted key regardless of use; simple but ignores popularity.
- LRU evicts the least recently accessed key; good for recency-driven workloads.
- LFU evicts the least frequently accessed key; keeps long-term hot items but needs ageing to avoid stale favourites.
All can be implemented in O(1).</t>
        </is>
      </c>
      <c r="G669" s="13" t="inlineStr"/>
    </row>
    <row r="670">
      <c r="A670" s="13" t="n">
        <v>56</v>
      </c>
      <c r="B670" s="24" t="n">
        <v>46348</v>
      </c>
      <c r="C670" s="13" t="inlineStr">
        <is>
          <t>LLD</t>
        </is>
      </c>
      <c r="D670" s="16" t="inlineStr">
        <is>
          <t>Intermediate</t>
        </is>
      </c>
      <c r="E670" s="13" t="inlineStr">
        <is>
          <t>Rapid fire: how does the Strategy pattern help cache eviction?</t>
        </is>
      </c>
      <c r="F670" s="13" t="inlineStr">
        <is>
          <t>The cache delegates victim selection to IEvictionPolicy, so policies are swappable at runtime or via configuration without modifying the cache class. Each policy is unit-testable on its own, and new policies (FIFO, random, TinyLFU) are added by writing a new class, satisfying Open/Closed.</t>
        </is>
      </c>
      <c r="G670" s="13" t="inlineStr"/>
    </row>
    <row r="671">
      <c r="A671" s="13" t="n">
        <v>56</v>
      </c>
      <c r="B671" s="24" t="n">
        <v>46348</v>
      </c>
      <c r="C671" s="13" t="inlineStr">
        <is>
          <t>LLD</t>
        </is>
      </c>
      <c r="D671" s="16" t="inlineStr">
        <is>
          <t>Intermediate</t>
        </is>
      </c>
      <c r="E671" s="13" t="inlineStr">
        <is>
          <t>Rapid fire: how do you remove the expired entry safely without racing with a concurrent Put?</t>
        </is>
      </c>
      <c r="F671" s="13" t="inlineStr">
        <is>
          <t>Remove only if the value is still the exact entry you observed as expired, using ConcurrentDictionary's conditional removal.
```csharp
if (_map.TryGetValue(key, out var e) &amp;&amp; e.ExpiresAt &lt;= _clock.UtcNow)
{
    // removes only if the entry was not replaced meanwhile
    ((ICollection&lt;KeyValuePair&lt;K, Entry&gt;&gt;)_map).Remove(new(key, e));
}
```
In .NET 5+ you can call _map.TryRemove(new KeyValuePair&lt;K, Entry&gt;(key, e)).</t>
        </is>
      </c>
      <c r="G671" s="13" t="inlineStr"/>
    </row>
    <row r="672">
      <c r="A672" s="13" t="n">
        <v>56</v>
      </c>
      <c r="B672" s="24" t="n">
        <v>46348</v>
      </c>
      <c r="C672" s="13" t="inlineStr">
        <is>
          <t>LLD</t>
        </is>
      </c>
      <c r="D672" s="17" t="inlineStr">
        <is>
          <t>Advanced</t>
        </is>
      </c>
      <c r="E672" s="13" t="inlineStr">
        <is>
          <t>Rapid fire: what are common bugs in LRU and LFU implementations?</t>
        </is>
      </c>
      <c r="F672" s="13" t="inlineStr">
        <is>
          <t>- Not storing the key in the list node, so eviction cannot clean the map.
- Updating an existing key without moving it to the head, or evicting on update.
- In LFU, forgetting to update minFreq when a frequency bucket empties, or resetting it wrongly on insert (it should be 1).
- Capacity 0 not handled.
- Not locking the map and list together.</t>
        </is>
      </c>
      <c r="G672" s="13" t="inlineStr"/>
    </row>
    <row r="673">
      <c r="A673" s="13" t="n">
        <v>56</v>
      </c>
      <c r="B673" s="24" t="n">
        <v>46348</v>
      </c>
      <c r="C673" s="13" t="inlineStr">
        <is>
          <t>LLD</t>
        </is>
      </c>
      <c r="D673" s="17" t="inlineStr">
        <is>
          <t>Advanced</t>
        </is>
      </c>
      <c r="E673" s="13" t="inlineStr">
        <is>
          <t>Rapid fire: how would you combine TTL, eviction and thread safety in one cache design?</t>
        </is>
      </c>
      <c r="F673" s="13" t="inlineStr">
        <is>
          <t>Cache&lt;K, V&gt; holds a dictionary of entries with ExpiresAt, an injected IEvictionPolicy and an IClock, all guarded by a single lock (or striped locks by key hash). Get checks expiry first (expired = remove from both map and policy, return miss), then notifies the policy. Put evicts via the policy only when inserting a new key at capacity. A background PeriodicTimer sweeps expired entries in small batches, and an eviction callback reports removals.</t>
        </is>
      </c>
      <c r="G673" s="13" t="inlineStr"/>
    </row>
    <row r="674">
      <c r="A674" s="13" t="n">
        <v>57</v>
      </c>
      <c r="B674" s="24" t="n">
        <v>46349</v>
      </c>
      <c r="C674" s="13" t="inlineStr">
        <is>
          <t>HLD</t>
        </is>
      </c>
      <c r="D674" s="18" t="inlineStr">
        <is>
          <t>Basic</t>
        </is>
      </c>
      <c r="E674" s="13" t="inlineStr">
        <is>
          <t>Why do you need a distributed rate limiter instead of an in-memory one per server?</t>
        </is>
      </c>
      <c r="F674" s="13" t="inlineStr">
        <is>
          <t>With N app instances behind a load balancer, an in-memory limiter lets a client make N times the allowed requests, and limits reset when instances restart or scale. A shared store like Redis gives one global counter per client, so limits are accurate regardless of which instance serves the request. Redis is fast (sub-millisecond) and supports atomic operations and TTLs.</t>
        </is>
      </c>
      <c r="G674" s="13" t="inlineStr"/>
    </row>
    <row r="675">
      <c r="A675" s="13" t="n">
        <v>57</v>
      </c>
      <c r="B675" s="24" t="n">
        <v>46349</v>
      </c>
      <c r="C675" s="13" t="inlineStr">
        <is>
          <t>HLD</t>
        </is>
      </c>
      <c r="D675" s="18" t="inlineStr">
        <is>
          <t>Basic</t>
        </is>
      </c>
      <c r="E675" s="13" t="inlineStr">
        <is>
          <t>How does a fixed-window rate limiter work with Redis INCR?</t>
        </is>
      </c>
      <c r="F675" s="13" t="inlineStr">
        <is>
          <t>Key = rate:{clientId}:{windowStart}, for example per minute. For each request, INCR the key; if the result is 1, set EXPIRE for the window length; if the count exceeds the limit, reject with 429 and a Retry-After header. It is simple and cheap, but allows up to 2x the limit in bursts across a window boundary (end of one minute plus the start of the next).</t>
        </is>
      </c>
      <c r="G675" s="13" t="inlineStr"/>
    </row>
    <row r="676">
      <c r="A676" s="13" t="n">
        <v>57</v>
      </c>
      <c r="B676" s="24" t="n">
        <v>46349</v>
      </c>
      <c r="C676" s="13" t="inlineStr">
        <is>
          <t>HLD</t>
        </is>
      </c>
      <c r="D676" s="16" t="inlineStr">
        <is>
          <t>Intermediate</t>
        </is>
      </c>
      <c r="E676" s="13" t="inlineStr">
        <is>
          <t>How do sliding window log and sliding window counter differ in Redis?</t>
        </is>
      </c>
      <c r="F676" s="13" t="inlineStr">
        <is>
          <t>- Sliding log: store each request timestamp in a sorted set (ZADD), remove entries older than the window (ZREMRANGEBYSCORE), and count with ZCARD; exact but memory grows with requests per client.
- Sliding window counter: keep counters for the current and previous fixed windows and estimate count = current + previous x (overlap fraction); O(1) memory and accurate enough in practice (Cloudflare uses this).</t>
        </is>
      </c>
      <c r="G676" s="13" t="inlineStr"/>
    </row>
    <row r="677">
      <c r="A677" s="13" t="n">
        <v>57</v>
      </c>
      <c r="B677" s="24" t="n">
        <v>46349</v>
      </c>
      <c r="C677" s="13" t="inlineStr">
        <is>
          <t>HLD</t>
        </is>
      </c>
      <c r="D677" s="16" t="inlineStr">
        <is>
          <t>Intermediate</t>
        </is>
      </c>
      <c r="E677" s="13" t="inlineStr">
        <is>
          <t>Why do you need Lua scripts (or MULTI) for rate limiting in Redis?</t>
        </is>
      </c>
      <c r="F677" s="13" t="inlineStr">
        <is>
          <t>A rate check is read-check-write: get the count, compare with the limit, then increment. If done in separate commands, two concurrent requests can both read 99 and both pass a limit of 100. A Lua script runs atomically on the Redis server, so the whole check-and-update happens as one operation and also saves network round trips. INCR alone is atomic, but anything with a conditional or multiple keys (sliding log, token bucket) needs Lua.</t>
        </is>
      </c>
      <c r="G677" s="13" t="inlineStr"/>
    </row>
    <row r="678">
      <c r="A678" s="13" t="n">
        <v>57</v>
      </c>
      <c r="B678" s="24" t="n">
        <v>46349</v>
      </c>
      <c r="C678" s="13" t="inlineStr">
        <is>
          <t>HLD</t>
        </is>
      </c>
      <c r="D678" s="17" t="inlineStr">
        <is>
          <t>Advanced</t>
        </is>
      </c>
      <c r="E678" s="13" t="inlineStr">
        <is>
          <t>What does fail open vs fail closed mean and which would you choose?</t>
        </is>
      </c>
      <c r="F678" s="13" t="inlineStr">
        <is>
          <t>If Redis is unavailable, fail open allows all requests (availability first, no protection), and fail closed rejects them (protection first, but an outage of the limiter becomes an outage of the API). For most user-facing APIs, fail open with a short timeout and a local in-memory fallback limiter per instance, plus alerts. For security-critical endpoints like login or OTP attempts, or to protect a fragile downstream, fail closed. Wrap Redis calls with a circuit breaker (Polly) so a slow Redis does not add latency.</t>
        </is>
      </c>
      <c r="G678" s="13" t="inlineStr"/>
    </row>
    <row r="679">
      <c r="A679" s="13" t="n">
        <v>57</v>
      </c>
      <c r="B679" s="24" t="n">
        <v>46349</v>
      </c>
      <c r="C679" s="13" t="inlineStr">
        <is>
          <t>HLD</t>
        </is>
      </c>
      <c r="D679" s="17" t="inlineStr">
        <is>
          <t>Advanced</t>
        </is>
      </c>
      <c r="E679" s="13" t="inlineStr">
        <is>
          <t>How would you implement a token bucket in Redis and scale it for very high traffic?</t>
        </is>
      </c>
      <c r="F679" s="13" t="inlineStr">
        <is>
          <t>Store tokens and lastRefill in a hash per client; a Lua script computes refill = elapsed x rate, caps at capacity, and decrements if at least one token is available, all atomically, with a TTL to clean idle keys. Use Redis server time (TIME) rather than app clocks to avoid skew. To scale, shard keys across a Redis Cluster (hash tags keep one client's keys on one shard), and for extreme QPS combine a local per-instance bucket with periodic sync to Redis, accepting slight inaccuracy. Return X-RateLimit-Remaining headers.</t>
        </is>
      </c>
      <c r="G679" s="13" t="inlineStr"/>
    </row>
    <row r="680">
      <c r="A680" s="13" t="n">
        <v>57</v>
      </c>
      <c r="B680" s="24" t="n">
        <v>46349</v>
      </c>
      <c r="C680" s="13" t="inlineStr">
        <is>
          <t>LLD</t>
        </is>
      </c>
      <c r="D680" s="18" t="inlineStr">
        <is>
          <t>Basic</t>
        </is>
      </c>
      <c r="E680" s="13" t="inlineStr">
        <is>
          <t>What is the sliding window log algorithm and how does it differ from fixed window?</t>
        </is>
      </c>
      <c r="F680" s="13" t="inlineStr">
        <is>
          <t>Sliding window log keeps the timestamps of requests in the last window and allows a request only if the count in the window [now - window, now] is below the limit. Unlike fixed windows, the window moves with each request, so there is no boundary burst. The cost is storing one timestamp per request per client.</t>
        </is>
      </c>
      <c r="G680" s="13" t="inlineStr"/>
    </row>
    <row r="681">
      <c r="A681" s="13" t="n">
        <v>57</v>
      </c>
      <c r="B681" s="24" t="n">
        <v>46349</v>
      </c>
      <c r="C681" s="13" t="inlineStr">
        <is>
          <t>LLD</t>
        </is>
      </c>
      <c r="D681" s="18" t="inlineStr">
        <is>
          <t>Basic</t>
        </is>
      </c>
      <c r="E681" s="13" t="inlineStr">
        <is>
          <t>How do you design the rate limiter so new algorithms can be added?</t>
        </is>
      </c>
      <c r="F681" s="13" t="inlineStr">
        <is>
          <t>Define an IRateLimiter interface with bool TryAcquire(string clientId) (or a result with retry-after), and implement FixedWindowLimiter, SlidingWindowLogLimiter, SlidingWindowCounterLimiter and TokenBucketLimiter. A factory or DI picks the implementation from configuration. Middleware depends only on the interface, following Strategy and Open/Closed. Note .NET 7+ has System.Threading.RateLimiting with SlidingWindowRateLimiter built in.</t>
        </is>
      </c>
      <c r="G681" s="13" t="inlineStr"/>
    </row>
    <row r="682">
      <c r="A682" s="13" t="n">
        <v>57</v>
      </c>
      <c r="B682" s="24" t="n">
        <v>46349</v>
      </c>
      <c r="C682" s="13" t="inlineStr">
        <is>
          <t>LLD</t>
        </is>
      </c>
      <c r="D682" s="16" t="inlineStr">
        <is>
          <t>Intermediate</t>
        </is>
      </c>
      <c r="E682" s="13" t="inlineStr">
        <is>
          <t>Implement a sliding window log limiter for one client in C#.</t>
        </is>
      </c>
      <c r="F682" s="13" t="inlineStr">
        <is>
          <t>A queue of timestamps is trimmed on each call; the lock keeps trim-check-add atomic.
```csharp
public class SlidingWindowLog {
    private readonly Queue&lt;DateTime&gt; _hits = new();
    private readonly int _limit; private readonly TimeSpan _window;
    public SlidingWindowLog(int limit, TimeSpan window) { _limit = limit; _window = window; }
    public bool TryAcquire(DateTime now) {
        lock (_hits) {
            while (_hits.Count &gt; 0 &amp;&amp; now - _hits.Peek() &gt;= _window) _hits.Dequeue();
            if (_hits.Count &gt;= _limit) return false;
            _hits.Enqueue(now); return true;
        }
    }
}
```</t>
        </is>
      </c>
      <c r="G682" s="13" t="inlineStr"/>
    </row>
    <row r="683">
      <c r="A683" s="13" t="n">
        <v>57</v>
      </c>
      <c r="B683" s="24" t="n">
        <v>46349</v>
      </c>
      <c r="C683" s="13" t="inlineStr">
        <is>
          <t>LLD</t>
        </is>
      </c>
      <c r="D683" s="16" t="inlineStr">
        <is>
          <t>Intermediate</t>
        </is>
      </c>
      <c r="E683" s="13" t="inlineStr">
        <is>
          <t>How do you implement the sliding window counter approximation?</t>
        </is>
      </c>
      <c r="F683" s="13" t="inlineStr">
        <is>
          <t>Keep counts for the current fixed window and the previous one. On each request compute weight = 1 - (elapsed in current window / window length) and estimated = current + previous x weight; allow if estimated &lt; limit, then increment current. When a new window starts, previous = current (or 0 if more than one window passed) and current = 0. It uses O(1) memory per client instead of a timestamp per request.</t>
        </is>
      </c>
      <c r="G683" s="13" t="inlineStr"/>
    </row>
    <row r="684">
      <c r="A684" s="13" t="n">
        <v>57</v>
      </c>
      <c r="B684" s="24" t="n">
        <v>46349</v>
      </c>
      <c r="C684" s="13" t="inlineStr">
        <is>
          <t>LLD</t>
        </is>
      </c>
      <c r="D684" s="17" t="inlineStr">
        <is>
          <t>Advanced</t>
        </is>
      </c>
      <c r="E684" s="13" t="inlineStr">
        <is>
          <t>How do you manage per-client limiter instances and prevent memory leaks?</t>
        </is>
      </c>
      <c r="F684" s="13" t="inlineStr">
        <is>
          <t>Store limiters in a ConcurrentDictionary&lt;string, SlidingWindowLog&gt; using GetOrAdd(clientId, _ =&gt; new SlidingWindowLog(...)). Idle clients would accumulate forever, so track last access time and remove idle entries with a periodic cleanup, or use MemoryCache with sliding expiration. Limits can differ per tier (free vs premium), so a policy lookup supplies limit and window per client. Inject a clock so tests can move time deterministically.</t>
        </is>
      </c>
      <c r="G684" s="13" t="inlineStr"/>
    </row>
    <row r="685">
      <c r="A685" s="13" t="n">
        <v>57</v>
      </c>
      <c r="B685" s="24" t="n">
        <v>46349</v>
      </c>
      <c r="C685" s="13" t="inlineStr">
        <is>
          <t>LLD</t>
        </is>
      </c>
      <c r="D685" s="17" t="inlineStr">
        <is>
          <t>Advanced</t>
        </is>
      </c>
      <c r="E685" s="13" t="inlineStr">
        <is>
          <t>How would you unit test a sliding window limiter, including edge cases?</t>
        </is>
      </c>
      <c r="F685" s="13" t="inlineStr">
        <is>
          <t>Inject a fake clock (TimeProvider in .NET 8, or an IClock) so time is controlled. Test: requests up to the limit pass and the next one fails; after the window moves past the oldest request exactly one more request is allowed; requests exactly at the window boundary are handled consistently (&gt;= vs &gt;); different clients do not affect each other. Add a concurrency test with Parallel.For asserting exactly limit successes out of many simultaneous calls.</t>
        </is>
      </c>
      <c r="G685" s="13" t="inlineStr"/>
    </row>
    <row r="686">
      <c r="A686" s="13" t="n">
        <v>58</v>
      </c>
      <c r="B686" s="24" t="n">
        <v>46350</v>
      </c>
      <c r="C686" s="13" t="inlineStr">
        <is>
          <t>HLD</t>
        </is>
      </c>
      <c r="D686" s="18" t="inlineStr">
        <is>
          <t>Basic</t>
        </is>
      </c>
      <c r="E686" s="13" t="inlineStr">
        <is>
          <t>What are the main components of a distributed job scheduler?</t>
        </is>
      </c>
      <c r="F686" s="13" t="inlineStr">
        <is>
          <t>- API to create, update, cancel and query jobs (one-off, delayed or cron).
- Job store: job definitions and execution records (DB).
- Scheduler/dispatcher: finds due jobs and puts them on a queue.
- Workers: pull from the queue, execute and report status.
- Retry, dead-letter handling and monitoring.
Examples: Quartz.NET, Hangfire, Azure Functions timer triggers, AWS EventBridge Scheduler.</t>
        </is>
      </c>
      <c r="G686" s="13" t="inlineStr"/>
    </row>
    <row r="687">
      <c r="A687" s="13" t="n">
        <v>58</v>
      </c>
      <c r="B687" s="24" t="n">
        <v>46350</v>
      </c>
      <c r="C687" s="13" t="inlineStr">
        <is>
          <t>HLD</t>
        </is>
      </c>
      <c r="D687" s="18" t="inlineStr">
        <is>
          <t>Basic</t>
        </is>
      </c>
      <c r="E687" s="13" t="inlineStr">
        <is>
          <t>How does the dispatcher efficiently find jobs that are due?</t>
        </is>
      </c>
      <c r="F687" s="13" t="inlineStr">
        <is>
          <t>Index jobs by next_run_time and status, and have the dispatcher poll every few seconds: SELECT due jobs WHERE next_run_time &lt;= now AND status = 'Scheduled' LIMIT batch. For cron jobs, compute the next run time after each execution and update it. At larger scale, partition jobs by hash across dispatcher instances, or keep near-term jobs in a Redis sorted set scored by run time and pop due entries.</t>
        </is>
      </c>
      <c r="G687" s="13" t="inlineStr"/>
    </row>
    <row r="688">
      <c r="A688" s="13" t="n">
        <v>58</v>
      </c>
      <c r="B688" s="24" t="n">
        <v>46350</v>
      </c>
      <c r="C688" s="13" t="inlineStr">
        <is>
          <t>HLD</t>
        </is>
      </c>
      <c r="D688" s="16" t="inlineStr">
        <is>
          <t>Intermediate</t>
        </is>
      </c>
      <c r="E688" s="13" t="inlineStr">
        <is>
          <t>How do you prevent two dispatchers or workers from running the same job?</t>
        </is>
      </c>
      <c r="F688" s="13" t="inlineStr">
        <is>
          <t>Claim jobs atomically: UPDATE jobs SET status='Running', owner=@me, lease_until=now+5m WHERE id=@id AND status='Scheduled', and only proceed if one row was updated; in SQL Server or Postgres use SELECT ... FOR UPDATE SKIP LOCKED to grab batches without blocking. The lease means if a worker dies, the job becomes claimable again after lease_until. Workers renew the lease for long jobs (heartbeat).</t>
        </is>
      </c>
      <c r="G688" s="13" t="inlineStr"/>
    </row>
    <row r="689">
      <c r="A689" s="13" t="n">
        <v>58</v>
      </c>
      <c r="B689" s="24" t="n">
        <v>46350</v>
      </c>
      <c r="C689" s="13" t="inlineStr">
        <is>
          <t>HLD</t>
        </is>
      </c>
      <c r="D689" s="16" t="inlineStr">
        <is>
          <t>Intermediate</t>
        </is>
      </c>
      <c r="E689" s="13" t="inlineStr">
        <is>
          <t>Why are jobs executed 'exactly-once-ish' and how do idempotent jobs help?</t>
        </is>
      </c>
      <c r="F689" s="13" t="inlineStr">
        <is>
          <t>A worker can finish the job but crash before marking it complete, so the lease expires and another worker reruns it; true exactly-once is impossible, so the system delivers at-least-once. Make jobs idempotent: use an execution ID as an idempotency key, check whether the side effect already happened (for example 'invoice for period X exists'), or use upserts. Combined with leases this gives effectively-once outcomes.</t>
        </is>
      </c>
      <c r="G689" s="13" t="inlineStr"/>
    </row>
    <row r="690">
      <c r="A690" s="13" t="n">
        <v>58</v>
      </c>
      <c r="B690" s="24" t="n">
        <v>46350</v>
      </c>
      <c r="C690" s="13" t="inlineStr">
        <is>
          <t>HLD</t>
        </is>
      </c>
      <c r="D690" s="17" t="inlineStr">
        <is>
          <t>Advanced</t>
        </is>
      </c>
      <c r="E690" s="13" t="inlineStr">
        <is>
          <t>How do you design retries, backoff and dead letters for failed jobs?</t>
        </is>
      </c>
      <c r="F690" s="13" t="inlineStr">
        <is>
          <t>Each job has maxAttempts and a retry policy; on failure, increment attempts and set next_run_time = now + base x 2^attempt plus jitter, so a failing dependency is not hammered. Distinguish transient errors (retry) from permanent ones (fail immediately). After maxAttempts, move the job to a dead-letter state or queue with the error and stack trace, alert, and allow manual replay from an admin UI. Record every attempt in an execution history table.</t>
        </is>
      </c>
      <c r="G690" s="13" t="inlineStr"/>
    </row>
    <row r="691">
      <c r="A691" s="13" t="n">
        <v>58</v>
      </c>
      <c r="B691" s="24" t="n">
        <v>46350</v>
      </c>
      <c r="C691" s="13" t="inlineStr">
        <is>
          <t>HLD</t>
        </is>
      </c>
      <c r="D691" s="17" t="inlineStr">
        <is>
          <t>Advanced</t>
        </is>
      </c>
      <c r="E691" s="13" t="inlineStr">
        <is>
          <t>How would you scale the scheduler to millions of jobs per hour with high availability?</t>
        </is>
      </c>
      <c r="F691" s="13" t="inlineStr">
        <is>
          <t>Separate scheduling from execution: dispatchers only move due jobs to a durable queue (Service Bus, Kafka, SQS), and a large autoscaled worker pool consumes it. Partition the job table by hash of job ID and assign partitions to dispatchers via leader election or a lease per partition, so there is no single point of failure and no duplicate scanning. Use separate queues for priorities and job types so long jobs do not starve short ones. Avoid the 'midnight spike' by adding jitter to cron schedules.</t>
        </is>
      </c>
      <c r="G691" s="13" t="inlineStr"/>
    </row>
    <row r="692">
      <c r="A692" s="13" t="n">
        <v>58</v>
      </c>
      <c r="B692" s="24" t="n">
        <v>46350</v>
      </c>
      <c r="C692" s="13" t="inlineStr">
        <is>
          <t>LLD</t>
        </is>
      </c>
      <c r="D692" s="18" t="inlineStr">
        <is>
          <t>Basic</t>
        </is>
      </c>
      <c r="E692" s="13" t="inlineStr">
        <is>
          <t>What are the core classes in a task scheduler LLD?</t>
        </is>
      </c>
      <c r="F692" s="13" t="inlineStr">
        <is>
          <t>- ITask/ICommand: Execute() for the work.
- ScheduledTask: wraps the command with Id, RunAt, Priority, recurrence interval and retry count.
- TaskScheduler: Schedule(task), Cancel(id), and a run loop.
- A priority queue ordered by RunAt then Priority.
- Worker threads or a Task-based executor pool.</t>
        </is>
      </c>
      <c r="G692" s="13" t="inlineStr"/>
    </row>
    <row r="693">
      <c r="A693" s="13" t="n">
        <v>58</v>
      </c>
      <c r="B693" s="24" t="n">
        <v>46350</v>
      </c>
      <c r="C693" s="13" t="inlineStr">
        <is>
          <t>LLD</t>
        </is>
      </c>
      <c r="D693" s="18" t="inlineStr">
        <is>
          <t>Basic</t>
        </is>
      </c>
      <c r="E693" s="13" t="inlineStr">
        <is>
          <t>Why is the Command pattern a good fit for a task scheduler?</t>
        </is>
      </c>
      <c r="F693" s="13" t="inlineStr">
        <is>
          <t>The Command pattern wraps a request as an object, so the scheduler can store, queue, delay, retry, log and cancel work without knowing what the work does. Adding a new kind of task is a new ICommand class, not a change to the scheduler. Commands can also carry an Undo method or metadata like a name for logging.</t>
        </is>
      </c>
      <c r="G693" s="13" t="inlineStr"/>
    </row>
    <row r="694">
      <c r="A694" s="13" t="n">
        <v>58</v>
      </c>
      <c r="B694" s="24" t="n">
        <v>46350</v>
      </c>
      <c r="C694" s="13" t="inlineStr">
        <is>
          <t>LLD</t>
        </is>
      </c>
      <c r="D694" s="16" t="inlineStr">
        <is>
          <t>Intermediate</t>
        </is>
      </c>
      <c r="E694" s="13" t="inlineStr">
        <is>
          <t>Show the Command and the priority queue usage in C#.</t>
        </is>
      </c>
      <c r="F694" s="13" t="inlineStr">
        <is>
          <t>PriorityQueue in .NET 6+ is a min-heap keyed by priority, here the run time.
```csharp
public interface ICommand { Task ExecuteAsync(CancellationToken ct); }
public record ScheduledTask(Guid Id, ICommand Command, DateTime RunAt, int Priority);
private readonly PriorityQueue&lt;ScheduledTask, (DateTime, int)&gt; _queue = new();
public void Schedule(ScheduledTask t) {
    lock (_queue) _queue.Enqueue(t, (t.RunAt, t.Priority));
    _signal.Release(); // wake the run loop
}
```</t>
        </is>
      </c>
      <c r="G694" s="13" t="inlineStr"/>
    </row>
    <row r="695">
      <c r="A695" s="13" t="n">
        <v>58</v>
      </c>
      <c r="B695" s="24" t="n">
        <v>46350</v>
      </c>
      <c r="C695" s="13" t="inlineStr">
        <is>
          <t>LLD</t>
        </is>
      </c>
      <c r="D695" s="16" t="inlineStr">
        <is>
          <t>Intermediate</t>
        </is>
      </c>
      <c r="E695" s="13" t="inlineStr">
        <is>
          <t>How does the scheduler loop wait for the next task without busy-waiting?</t>
        </is>
      </c>
      <c r="F695" s="13" t="inlineStr">
        <is>
          <t>Peek the earliest task; if the queue is empty, wait on a signal (SemaphoreSlim or Channel) until a task is scheduled. If the next task is in the future, wait for the smaller of (RunAt - now) or a new-task signal, because a newly scheduled task may be earlier than the current head. When due, dequeue it and hand it to a worker pool (limited by SemaphoreSlim for concurrency) so a slow task does not block the loop. Avoid Thread.Sleep polling.</t>
        </is>
      </c>
      <c r="G695" s="13" t="inlineStr"/>
    </row>
    <row r="696">
      <c r="A696" s="13" t="n">
        <v>58</v>
      </c>
      <c r="B696" s="24" t="n">
        <v>46350</v>
      </c>
      <c r="C696" s="13" t="inlineStr">
        <is>
          <t>LLD</t>
        </is>
      </c>
      <c r="D696" s="17" t="inlineStr">
        <is>
          <t>Advanced</t>
        </is>
      </c>
      <c r="E696" s="13" t="inlineStr">
        <is>
          <t>How do you support recurring tasks, cancellation and retries?</t>
        </is>
      </c>
      <c r="F696" s="13" t="inlineStr">
        <is>
          <t>- Recurring: after executing, compute the next RunAt (fixed interval or cron) and re-enqueue a new ScheduledTask.
- Cancellation: PriorityQueue has no efficient remove, so keep a HashSet of cancelled IDs and skip them when dequeued (lazy deletion), and pass a CancellationToken to running commands.
- Retries: catch exceptions, increment attempts and re-enqueue with RunAt = now + backoff; after max attempts send to a failed list.</t>
        </is>
      </c>
      <c r="G696" s="13" t="inlineStr"/>
    </row>
    <row r="697">
      <c r="A697" s="13" t="n">
        <v>58</v>
      </c>
      <c r="B697" s="24" t="n">
        <v>46350</v>
      </c>
      <c r="C697" s="13" t="inlineStr">
        <is>
          <t>LLD</t>
        </is>
      </c>
      <c r="D697" s="17" t="inlineStr">
        <is>
          <t>Advanced</t>
        </is>
      </c>
      <c r="E697" s="13" t="inlineStr">
        <is>
          <t>How do you make the scheduler thread-safe and shut it down gracefully?</t>
        </is>
      </c>
      <c r="F697" s="13" t="inlineStr">
        <is>
          <t>All queue access happens under one lock (or only the single run loop touches the queue while producers write to a Channel). Workers run on a bounded pool, and shared state like cancelled IDs uses concurrent collections. For shutdown, cancel a root CancellationTokenSource, stop accepting new tasks, let the loop exit and await in-flight tasks with a timeout. In ASP.NET Core, host it as a BackgroundService so StopAsync is called by the host.</t>
        </is>
      </c>
      <c r="G697" s="13" t="inlineStr"/>
    </row>
    <row r="698">
      <c r="A698" s="13" t="n">
        <v>59</v>
      </c>
      <c r="B698" s="24" t="n">
        <v>46351</v>
      </c>
      <c r="C698" s="13" t="inlineStr">
        <is>
          <t>HLD</t>
        </is>
      </c>
      <c r="D698" s="18" t="inlineStr">
        <is>
          <t>Basic</t>
        </is>
      </c>
      <c r="E698" s="13" t="inlineStr">
        <is>
          <t>What does an event-driven order system look like at a high level?</t>
        </is>
      </c>
      <c r="F698" s="13" t="inlineStr">
        <is>
          <t>The Order service stores the order and publishes OrderCreated to a broker (Kafka, Service Bus). Payment, Inventory and Shipping services subscribe, do their part and publish their own events (PaymentCompleted, StockReserved, ShipmentCreated), and the order status updates as events arrive. Services are decoupled, scale independently and continue working when one is temporarily down, at the cost of eventual consistency.</t>
        </is>
      </c>
      <c r="G698" s="13" t="inlineStr"/>
    </row>
    <row r="699">
      <c r="A699" s="13" t="n">
        <v>59</v>
      </c>
      <c r="B699" s="24" t="n">
        <v>46351</v>
      </c>
      <c r="C699" s="13" t="inlineStr">
        <is>
          <t>HLD</t>
        </is>
      </c>
      <c r="D699" s="18" t="inlineStr">
        <is>
          <t>Basic</t>
        </is>
      </c>
      <c r="E699" s="13" t="inlineStr">
        <is>
          <t>What is the difference between events and commands?</t>
        </is>
      </c>
      <c r="F699" s="13" t="inlineStr">
        <is>
          <t>An event is a fact that already happened (OrderPlaced), named in the past tense, published to any number of subscribers that the publisher does not know. A command is a request to do something (ReserveStock), sent to one specific handler that can accept or reject it. Using events reduces coupling; commands are useful when a coordinator needs a specific service to act.</t>
        </is>
      </c>
      <c r="G699" s="13" t="inlineStr"/>
    </row>
    <row r="700">
      <c r="A700" s="13" t="n">
        <v>59</v>
      </c>
      <c r="B700" s="24" t="n">
        <v>46351</v>
      </c>
      <c r="C700" s="13" t="inlineStr">
        <is>
          <t>HLD</t>
        </is>
      </c>
      <c r="D700" s="16" t="inlineStr">
        <is>
          <t>Intermediate</t>
        </is>
      </c>
      <c r="E700" s="13" t="inlineStr">
        <is>
          <t>What is the Saga pattern and why is it needed?</t>
        </is>
      </c>
      <c r="F700" s="13" t="inlineStr">
        <is>
          <t>A distributed transaction across Order, Payment and Inventory databases cannot use a single ACID transaction (2PC is slow and fragile). A saga breaks it into local transactions, each publishing an event that triggers the next step. If a step fails, previously completed steps are undone by compensating transactions, such as refunding the payment and releasing stock when shipping fails. The result is eventual consistency with explicit failure handling.</t>
        </is>
      </c>
      <c r="G700" s="13" t="inlineStr"/>
    </row>
    <row r="701">
      <c r="A701" s="13" t="n">
        <v>59</v>
      </c>
      <c r="B701" s="24" t="n">
        <v>46351</v>
      </c>
      <c r="C701" s="13" t="inlineStr">
        <is>
          <t>HLD</t>
        </is>
      </c>
      <c r="D701" s="16" t="inlineStr">
        <is>
          <t>Intermediate</t>
        </is>
      </c>
      <c r="E701" s="13" t="inlineStr">
        <is>
          <t>Choreography vs orchestration sagas - what are the trade-offs?</t>
        </is>
      </c>
      <c r="F701" s="13" t="inlineStr">
        <is>
          <t>- Choreography: each service listens to events and reacts; no central coordinator, loose coupling, good for 2-4 steps, but the flow is hard to see and debug and cyclic dependencies can appear.
- Orchestration: a saga orchestrator (for example Durable Functions, MassTransit state machine, Temporal) sends commands and tracks state; the flow is explicit and easier to monitor and change, but the orchestrator is another component to build and scale.</t>
        </is>
      </c>
      <c r="G701" s="13" t="inlineStr"/>
    </row>
    <row r="702">
      <c r="A702" s="13" t="n">
        <v>59</v>
      </c>
      <c r="B702" s="24" t="n">
        <v>46351</v>
      </c>
      <c r="C702" s="13" t="inlineStr">
        <is>
          <t>HLD</t>
        </is>
      </c>
      <c r="D702" s="17" t="inlineStr">
        <is>
          <t>Advanced</t>
        </is>
      </c>
      <c r="E702" s="13" t="inlineStr">
        <is>
          <t>What is the outbox pattern and what problem does it solve?</t>
        </is>
      </c>
      <c r="F702" s="13" t="inlineStr">
        <is>
          <t>The dual-write problem: saving the order to the DB and publishing to the broker are two systems, so a crash between them loses the event or publishes an event for a rolled-back order. With an outbox, the service writes the order and an outbox row in the same local DB transaction; a relay process (polling or CDC like Debezium) reads unpublished outbox rows, publishes them and marks them sent. This gives at-least-once publishing, so consumers must be idempotent.</t>
        </is>
      </c>
      <c r="G702" s="13" t="inlineStr"/>
    </row>
    <row r="703">
      <c r="A703" s="13" t="n">
        <v>59</v>
      </c>
      <c r="B703" s="24" t="n">
        <v>46351</v>
      </c>
      <c r="C703" s="13" t="inlineStr">
        <is>
          <t>HLD</t>
        </is>
      </c>
      <c r="D703" s="17" t="inlineStr">
        <is>
          <t>Advanced</t>
        </is>
      </c>
      <c r="E703" s="13" t="inlineStr">
        <is>
          <t>How do you make consumers idempotent and handle ordering in this system?</t>
        </is>
      </c>
      <c r="F703" s="13" t="inlineStr">
        <is>
          <t>Consumers store processed message IDs (an inbox table) in the same transaction as their side effects and skip duplicates; alternatively make the operation naturally idempotent with upserts or conditional updates like 'set status Paid where status = Pending'. For ordering, partition by orderId (Kafka key or Service Bus sessions) so all events of one order are processed in order by one consumer. Out-of-order or late events are handled by checking the current state or a version before applying, and poison messages go to a DLQ.</t>
        </is>
      </c>
      <c r="G703" s="13" t="inlineStr"/>
    </row>
    <row r="704">
      <c r="A704" s="13" t="n">
        <v>59</v>
      </c>
      <c r="B704" s="24" t="n">
        <v>46351</v>
      </c>
      <c r="C704" s="13" t="inlineStr">
        <is>
          <t>LLD</t>
        </is>
      </c>
      <c r="D704" s="18" t="inlineStr">
        <is>
          <t>Basic</t>
        </is>
      </c>
      <c r="E704" s="13" t="inlineStr">
        <is>
          <t>What are the states of an order and valid transitions?</t>
        </is>
      </c>
      <c r="F704" s="13" t="inlineStr">
        <is>
          <t>Typical states: Created, Paid, Shipped, Delivered, Cancelled, and possibly Returned or Refunded. Valid transitions: Created -&gt; Paid or Cancelled; Paid -&gt; Shipped or Cancelled (with refund); Shipped -&gt; Delivered; Delivered -&gt; Returned. Anything else, such as shipping a cancelled order, must be rejected. Draw the state diagram first in an interview.</t>
        </is>
      </c>
      <c r="G704" s="13" t="inlineStr"/>
    </row>
    <row r="705">
      <c r="A705" s="13" t="n">
        <v>59</v>
      </c>
      <c r="B705" s="24" t="n">
        <v>46351</v>
      </c>
      <c r="C705" s="13" t="inlineStr">
        <is>
          <t>LLD</t>
        </is>
      </c>
      <c r="D705" s="18" t="inlineStr">
        <is>
          <t>Basic</t>
        </is>
      </c>
      <c r="E705" s="13" t="inlineStr">
        <is>
          <t>Why use the State pattern instead of a status enum with switch statements?</t>
        </is>
      </c>
      <c r="F705" s="13" t="inlineStr">
        <is>
          <t>With an enum, every operation (Pay, Ship, Cancel) needs a switch over all states, so adding a state means editing many methods, and rules are scattered. The State pattern puts each state's behaviour in its own class, so each class only defines what is legal in that state and new states are added by new classes (Open/Closed). For very simple flows an enum with a transition table is acceptable; mention the trade-off.</t>
        </is>
      </c>
      <c r="G705" s="13" t="inlineStr"/>
    </row>
    <row r="706">
      <c r="A706" s="13" t="n">
        <v>59</v>
      </c>
      <c r="B706" s="24" t="n">
        <v>46351</v>
      </c>
      <c r="C706" s="13" t="inlineStr">
        <is>
          <t>LLD</t>
        </is>
      </c>
      <c r="D706" s="16" t="inlineStr">
        <is>
          <t>Intermediate</t>
        </is>
      </c>
      <c r="E706" s="13" t="inlineStr">
        <is>
          <t>Show the State pattern for an order in C#.</t>
        </is>
      </c>
      <c r="F706" s="13" t="inlineStr">
        <is>
          <t>The Order delegates to its current state; each state decides the transition.
```csharp
public abstract class OrderState {
    public virtual void Pay(Order o) =&gt; throw new InvalidOperationException($"Cannot pay in {GetType().Name}");
    public virtual void Ship(Order o) =&gt; throw new InvalidOperationException($"Cannot ship in {GetType().Name}");
    public virtual void Cancel(Order o) =&gt; throw new InvalidOperationException($"Cannot cancel in {GetType().Name}");
}
public class CreatedState : OrderState {
    public override void Pay(Order o) =&gt; o.SetState(new PaidState());
    public override void Cancel(Order o) =&gt; o.SetState(new CancelledState());
}
```</t>
        </is>
      </c>
      <c r="G706" s="13" t="inlineStr"/>
    </row>
    <row r="707">
      <c r="A707" s="13" t="n">
        <v>59</v>
      </c>
      <c r="B707" s="24" t="n">
        <v>46351</v>
      </c>
      <c r="C707" s="13" t="inlineStr">
        <is>
          <t>LLD</t>
        </is>
      </c>
      <c r="D707" s="16" t="inlineStr">
        <is>
          <t>Intermediate</t>
        </is>
      </c>
      <c r="E707" s="13" t="inlineStr">
        <is>
          <t>Who should own the transition - the state classes or the context?</t>
        </is>
      </c>
      <c r="F707" s="13" t="inlineStr">
        <is>
          <t>Either works. If states set the next state (as above), transitions are local and easy to add, but states know about each other. If the context (Order) or a transition table decides, states stay independent and all transitions are visible in one place, which is easier to audit. In interviews, letting states decide is the classic GoF form; keep SetState internal so outside code cannot jump states.</t>
        </is>
      </c>
      <c r="G707" s="13" t="inlineStr"/>
    </row>
    <row r="708">
      <c r="A708" s="13" t="n">
        <v>59</v>
      </c>
      <c r="B708" s="24" t="n">
        <v>46351</v>
      </c>
      <c r="C708" s="13" t="inlineStr">
        <is>
          <t>LLD</t>
        </is>
      </c>
      <c r="D708" s="17" t="inlineStr">
        <is>
          <t>Advanced</t>
        </is>
      </c>
      <c r="E708" s="13" t="inlineStr">
        <is>
          <t>How do you persist an order whose state is an object?</t>
        </is>
      </c>
      <c r="F708" s="13" t="inlineStr">
        <is>
          <t>Persist a Status enum or string column, not the state object; map it back to the state class on load with a factory (Status -&gt; OrderState instance). State classes are usually stateless, so they can be singletons (static instances) to avoid allocations. Store a state history table (from, to, timestamp, reason) for auditing, and use optimistic concurrency (a version column) so two concurrent transitions such as Ship and Cancel cannot both succeed.</t>
        </is>
      </c>
      <c r="G708" s="13" t="inlineStr"/>
    </row>
    <row r="709">
      <c r="A709" s="13" t="n">
        <v>59</v>
      </c>
      <c r="B709" s="24" t="n">
        <v>46351</v>
      </c>
      <c r="C709" s="13" t="inlineStr">
        <is>
          <t>LLD</t>
        </is>
      </c>
      <c r="D709" s="17" t="inlineStr">
        <is>
          <t>Advanced</t>
        </is>
      </c>
      <c r="E709" s="13" t="inlineStr">
        <is>
          <t>How would you add side effects like notifications and refunds on state changes cleanly?</t>
        </is>
      </c>
      <c r="F709" s="13" t="inlineStr">
        <is>
          <t>Do not put email or payment calls directly in state classes. Raise domain events from the context (Order.SetState records an OrderStateChanged event with from/to), and handlers subscribed to those events send notifications, trigger refunds when Paid -&gt; Cancelled, or write to the outbox. This keeps states focused on rules, makes side effects testable, and fits Observer or MediatR notifications in .NET.</t>
        </is>
      </c>
      <c r="G709" s="13" t="inlineStr"/>
    </row>
    <row r="710">
      <c r="A710" s="13" t="n">
        <v>60</v>
      </c>
      <c r="B710" s="24" t="n">
        <v>46352</v>
      </c>
      <c r="C710" s="13" t="inlineStr">
        <is>
          <t>HLD</t>
        </is>
      </c>
      <c r="D710" s="18" t="inlineStr">
        <is>
          <t>Basic</t>
        </is>
      </c>
      <c r="E710" s="13" t="inlineStr">
        <is>
          <t>What are the core requirements and components of a basic Dropbox?</t>
        </is>
      </c>
      <c r="F710" s="13" t="inlineStr">
        <is>
          <t>Requirements: upload and download files, sync across devices, share files, keep version history, handle large files and offline edits. Components: desktop/mobile client with a local watcher and chunker, a block service storing file chunks in object storage, a metadata service and DB (files, versions, chunk lists, users, devices), a notification service to tell other devices about changes, and a CDN for downloads.</t>
        </is>
      </c>
      <c r="G710" s="13" t="inlineStr"/>
    </row>
    <row r="711">
      <c r="A711" s="13" t="n">
        <v>60</v>
      </c>
      <c r="B711" s="24" t="n">
        <v>46352</v>
      </c>
      <c r="C711" s="13" t="inlineStr">
        <is>
          <t>HLD</t>
        </is>
      </c>
      <c r="D711" s="18" t="inlineStr">
        <is>
          <t>Basic</t>
        </is>
      </c>
      <c r="E711" s="13" t="inlineStr">
        <is>
          <t>Why split files into chunks?</t>
        </is>
      </c>
      <c r="F711" s="13" t="inlineStr">
        <is>
          <t>Chunking (for example 4 MB blocks) enables resumable uploads, since only failed chunks are retried, parallel upload and download, and delta sync, where editing part of a file uploads only changed chunks. It also enables deduplication, because identical chunks across files or users are stored once. A file becomes an ordered list of chunk hashes in metadata.</t>
        </is>
      </c>
      <c r="G711" s="13" t="inlineStr"/>
    </row>
    <row r="712">
      <c r="A712" s="13" t="n">
        <v>60</v>
      </c>
      <c r="B712" s="24" t="n">
        <v>46352</v>
      </c>
      <c r="C712" s="13" t="inlineStr">
        <is>
          <t>HLD</t>
        </is>
      </c>
      <c r="D712" s="16" t="inlineStr">
        <is>
          <t>Intermediate</t>
        </is>
      </c>
      <c r="E712" s="13" t="inlineStr">
        <is>
          <t>Why keep metadata and block storage separate?</t>
        </is>
      </c>
      <c r="F712" s="13" t="inlineStr">
        <is>
          <t>They have different access patterns: metadata is small, relational and transactional (folders, versions, permissions, which chunks form a file) and needs strong consistency, so it fits SQL (sharded by user or namespace). Blocks are large, immutable and content-addressed by hash, which suits cheap, durable object storage (S3, Azure Blob). Separating them lets each scale independently, and clients can upload blocks directly with pre-signed URLs.</t>
        </is>
      </c>
      <c r="G712" s="13" t="inlineStr"/>
    </row>
    <row r="713">
      <c r="A713" s="13" t="n">
        <v>60</v>
      </c>
      <c r="B713" s="24" t="n">
        <v>46352</v>
      </c>
      <c r="C713" s="13" t="inlineStr">
        <is>
          <t>HLD</t>
        </is>
      </c>
      <c r="D713" s="16" t="inlineStr">
        <is>
          <t>Intermediate</t>
        </is>
      </c>
      <c r="E713" s="13" t="inlineStr">
        <is>
          <t>How does the sync flow work when a file changes on one device?</t>
        </is>
      </c>
      <c r="F713" s="13" t="inlineStr">
        <is>
          <t>The client watcher detects the change, chunks the file and hashes chunks; it asks the server which hashes are missing, uploads only those, then commits a new file version with the chunk list to the metadata service. The metadata service increments the version and notifies the user's other devices via long polling or WebSockets. Those devices fetch the new metadata, download missing chunks and reassemble the file locally.</t>
        </is>
      </c>
      <c r="G713" s="13" t="inlineStr"/>
    </row>
    <row r="714">
      <c r="A714" s="13" t="n">
        <v>60</v>
      </c>
      <c r="B714" s="24" t="n">
        <v>46352</v>
      </c>
      <c r="C714" s="13" t="inlineStr">
        <is>
          <t>HLD</t>
        </is>
      </c>
      <c r="D714" s="17" t="inlineStr">
        <is>
          <t>Advanced</t>
        </is>
      </c>
      <c r="E714" s="13" t="inlineStr">
        <is>
          <t>How does deduplication work and what are its risks?</t>
        </is>
      </c>
      <c r="F714" s="13" t="inlineStr">
        <is>
          <t>Each chunk is identified by a strong hash (SHA-256); before uploading, the client asks whether the hash already exists, and if so only a reference is added. Block storage keeps a reference count so chunks are deleted only when no version uses them. Cross-user dedupe saves storage but leaks information (a user can test whether someone else has a file) and needs proof of ownership, so many systems dedupe only within a user's account. Encryption with per-user keys also limits cross-user dedupe.</t>
        </is>
      </c>
      <c r="G714" s="13" t="inlineStr"/>
    </row>
    <row r="715">
      <c r="A715" s="13" t="n">
        <v>60</v>
      </c>
      <c r="B715" s="24" t="n">
        <v>46352</v>
      </c>
      <c r="C715" s="13" t="inlineStr">
        <is>
          <t>HLD</t>
        </is>
      </c>
      <c r="D715" s="17" t="inlineStr">
        <is>
          <t>Advanced</t>
        </is>
      </c>
      <c r="E715" s="13" t="inlineStr">
        <is>
          <t>How do you resolve conflicts when the same file is edited on two devices offline?</t>
        </is>
      </c>
      <c r="F715" s="13" t="inlineStr">
        <is>
          <t>Each commit includes the base version the client started from. The metadata service accepts a commit only if the base version matches the current version (optimistic concurrency); the first commit wins. The losing client gets a conflict and saves its version as a separate 'conflicted copy' file, so no data is lost and the user merges manually. Automatic merging is only safe for specific formats; for general files Dropbox-style conflicted copies are the standard answer. Vector clocks per device can detect concurrency more precisely.</t>
        </is>
      </c>
      <c r="G715" s="13" t="inlineStr"/>
    </row>
    <row r="716">
      <c r="A716" s="13" t="n">
        <v>60</v>
      </c>
      <c r="B716" s="24" t="n">
        <v>46352</v>
      </c>
      <c r="C716" s="13" t="inlineStr">
        <is>
          <t>LLD</t>
        </is>
      </c>
      <c r="D716" s="18" t="inlineStr">
        <is>
          <t>Basic</t>
        </is>
      </c>
      <c r="E716" s="13" t="inlineStr">
        <is>
          <t>What is the Composite pattern?</t>
        </is>
      </c>
      <c r="F716" s="13" t="inlineStr">
        <is>
          <t>Composite lets you treat individual objects and groups of objects uniformly through a common interface, forming a tree. Leaves (File) and composites (Directory) both implement the same component (FileSystemNode), and a directory contains child nodes that may themselves be directories. Clients call GetSize() or Print() without checking the type.</t>
        </is>
      </c>
      <c r="G716" s="13" t="inlineStr"/>
    </row>
    <row r="717">
      <c r="A717" s="13" t="n">
        <v>60</v>
      </c>
      <c r="B717" s="24" t="n">
        <v>46352</v>
      </c>
      <c r="C717" s="13" t="inlineStr">
        <is>
          <t>LLD</t>
        </is>
      </c>
      <c r="D717" s="18" t="inlineStr">
        <is>
          <t>Basic</t>
        </is>
      </c>
      <c r="E717" s="13" t="inlineStr">
        <is>
          <t>Why is a file system a natural fit for Composite?</t>
        </is>
      </c>
      <c r="F717" s="13" t="inlineStr">
        <is>
          <t>A file system is a tree where directories contain files and other directories, and many operations are recursive: total size, search, delete, list and permissions. With Composite, Directory.GetSize() simply sums its children's GetSize(), and the recursion handles any depth. Adding a new node type, such as a Symlink, means adding a new class rather than changing all the recursive code.</t>
        </is>
      </c>
      <c r="G717" s="13" t="inlineStr"/>
    </row>
    <row r="718">
      <c r="A718" s="13" t="n">
        <v>60</v>
      </c>
      <c r="B718" s="24" t="n">
        <v>46352</v>
      </c>
      <c r="C718" s="13" t="inlineStr">
        <is>
          <t>LLD</t>
        </is>
      </c>
      <c r="D718" s="16" t="inlineStr">
        <is>
          <t>Intermediate</t>
        </is>
      </c>
      <c r="E718" s="13" t="inlineStr">
        <is>
          <t>Show the Composite classes for a file system in C#.</t>
        </is>
      </c>
      <c r="F718" s="13" t="inlineStr">
        <is>
          <t>Both files and directories are nodes; the directory delegates to children.
```csharp
public abstract class FsNode(string name) {
    public string Name { get; } = name;
    public abstract long GetSize();
}
public class FileNode(string name, long size) : FsNode(name) {
    public override long GetSize() =&gt; size;
}
public class DirectoryNode(string name) : FsNode(name) {
    private readonly Dictionary&lt;string, FsNode&gt; _children = new();
    public void Add(FsNode n) =&gt; _children.Add(n.Name, n);
    public override long GetSize() =&gt; _children.Values.Sum(c =&gt; c.GetSize());
}
```</t>
        </is>
      </c>
      <c r="G718" s="13" t="inlineStr"/>
    </row>
    <row r="719">
      <c r="A719" s="13" t="n">
        <v>60</v>
      </c>
      <c r="B719" s="24" t="n">
        <v>46352</v>
      </c>
      <c r="C719" s="13" t="inlineStr">
        <is>
          <t>LLD</t>
        </is>
      </c>
      <c r="D719" s="16" t="inlineStr">
        <is>
          <t>Intermediate</t>
        </is>
      </c>
      <c r="E719" s="13" t="inlineStr">
        <is>
          <t>How would you implement path resolution like /home/user/docs and mkdir -p?</t>
        </is>
      </c>
      <c r="F719" s="13" t="inlineStr">
        <is>
          <t>Split the path by '/', start from the root and walk children by name using the directory's Dictionary&lt;string, FsNode&gt; for O(1) lookup per segment. If a segment is missing or is a file where a directory is expected, throw or return null. For mkdir -p, create missing directories as you walk. Keep a Parent reference on each node to support '..', relative paths and computing a node's full path.</t>
        </is>
      </c>
      <c r="G719" s="13" t="inlineStr"/>
    </row>
    <row r="720">
      <c r="A720" s="13" t="n">
        <v>60</v>
      </c>
      <c r="B720" s="24" t="n">
        <v>46352</v>
      </c>
      <c r="C720" s="13" t="inlineStr">
        <is>
          <t>LLD</t>
        </is>
      </c>
      <c r="D720" s="17" t="inlineStr">
        <is>
          <t>Advanced</t>
        </is>
      </c>
      <c r="E720" s="13" t="inlineStr">
        <is>
          <t>Where should child-management methods like Add and Remove live - in the base component or only in Directory?</t>
        </is>
      </c>
      <c r="F720" s="13" t="inlineStr">
        <is>
          <t>This is the classic Composite trade-off. Putting Add/Remove on the base gives full transparency (clients treat all nodes the same) but File must throw NotSupportedException, which violates Liskov. Putting them only on Directory is safer and type-checked but clients sometimes need to type-check. Most interviewers prefer the safe version: common operations (Name, GetSize, Delete) on the base, child management only on Directory.</t>
        </is>
      </c>
      <c r="G720" s="13" t="inlineStr"/>
    </row>
    <row r="721">
      <c r="A721" s="13" t="n">
        <v>60</v>
      </c>
      <c r="B721" s="24" t="n">
        <v>46352</v>
      </c>
      <c r="C721" s="13" t="inlineStr">
        <is>
          <t>LLD</t>
        </is>
      </c>
      <c r="D721" s="17" t="inlineStr">
        <is>
          <t>Advanced</t>
        </is>
      </c>
      <c r="E721" s="13" t="inlineStr">
        <is>
          <t>How would you add search, permissions and other operations without bloating the node classes?</t>
        </is>
      </c>
      <c r="F721" s="13" t="inlineStr">
        <is>
          <t>Use the Visitor pattern: FsNode has Accept(IFsVisitor v), and FileNode/DirectoryNode call v.Visit(this), so operations like SizeVisitor, SearchByExtensionVisitor or PrintTreeVisitor live in their own classes. Alternatively expose an iterator (IEnumerable&lt;FsNode&gt; Traverse() using yield) and run LINQ over it for search. Permissions can be a property on FsNode with inheritance checked while walking up the Parent chain. For concurrency, use a ReaderWriterLockSlim at the file-system level.</t>
        </is>
      </c>
      <c r="G721" s="13" t="inlineStr"/>
    </row>
    <row r="722">
      <c r="A722" s="13" t="n">
        <v>61</v>
      </c>
      <c r="B722" s="24" t="n">
        <v>46353</v>
      </c>
      <c r="C722" s="13" t="inlineStr">
        <is>
          <t>HLD</t>
        </is>
      </c>
      <c r="D722" s="18" t="inlineStr">
        <is>
          <t>Basic</t>
        </is>
      </c>
      <c r="E722" s="13" t="inlineStr">
        <is>
          <t>What is back-of-the-envelope estimation and why do interviewers ask for it?</t>
        </is>
      </c>
      <c r="F722" s="13" t="inlineStr">
        <is>
          <t>It is a quick order-of-magnitude calculation of QPS, storage, bandwidth and memory used to size a system before designing it. Interviewers do not want exact numbers; they want to see you state assumptions, round aggressively (1 day is about 10^5 seconds) and use the result to make decisions, such as whether one database is enough or you need sharding and caching.</t>
        </is>
      </c>
      <c r="G722" s="13" t="inlineStr"/>
    </row>
    <row r="723">
      <c r="A723" s="13" t="n">
        <v>61</v>
      </c>
      <c r="B723" s="24" t="n">
        <v>46353</v>
      </c>
      <c r="C723" s="13" t="inlineStr">
        <is>
          <t>HLD</t>
        </is>
      </c>
      <c r="D723" s="18" t="inlineStr">
        <is>
          <t>Basic</t>
        </is>
      </c>
      <c r="E723" s="13" t="inlineStr">
        <is>
          <t>How do you convert daily active users into requests per second?</t>
        </is>
      </c>
      <c r="F723" s="13" t="inlineStr">
        <is>
          <t>QPS = DAU x requests per user per day / 86,400 (round to 10^5). For example 10M DAU x 10 requests = 10^8 / 10^5 = about 1,000 QPS on average. Peak is usually 2-3x the average (up to 10x for spiky events), and you then split it into reads and writes using the read:write ratio.</t>
        </is>
      </c>
      <c r="G723" s="13" t="inlineStr"/>
    </row>
    <row r="724">
      <c r="A724" s="13" t="n">
        <v>61</v>
      </c>
      <c r="B724" s="24" t="n">
        <v>46353</v>
      </c>
      <c r="C724" s="13" t="inlineStr">
        <is>
          <t>HLD</t>
        </is>
      </c>
      <c r="D724" s="16" t="inlineStr">
        <is>
          <t>Intermediate</t>
        </is>
      </c>
      <c r="E724" s="13" t="inlineStr">
        <is>
          <t>Estimate the storage for a Twitter-like service with 100M daily tweets.</t>
        </is>
      </c>
      <c r="F724" s="13" t="inlineStr">
        <is>
          <t>Text plus metadata is roughly 300 bytes per tweet, so 100M x 300 B = 30 GB/day, about 11 TB/year, and roughly 33 TB/year with 3x replication. If 10% of tweets carry a 500 KB image, that is 10M x 500 KB = 5 TB/day, so media dominates and must live in blob storage behind a CDN while the metadata stays in a database. Always finish with a multi-year total and say which store each part goes to.</t>
        </is>
      </c>
      <c r="G724" s="13" t="inlineStr"/>
    </row>
    <row r="725">
      <c r="A725" s="13" t="n">
        <v>61</v>
      </c>
      <c r="B725" s="24" t="n">
        <v>46353</v>
      </c>
      <c r="C725" s="13" t="inlineStr">
        <is>
          <t>HLD</t>
        </is>
      </c>
      <c r="D725" s="16" t="inlineStr">
        <is>
          <t>Intermediate</t>
        </is>
      </c>
      <c r="E725" s="13" t="inlineStr">
        <is>
          <t>Which latency and throughput numbers should you know by heart?</t>
        </is>
      </c>
      <c r="F725" s="13" t="inlineStr">
        <is>
          <t>Memory reference ~100 ns
- SSD random read ~100 microseconds
- Round trip inside a data centre ~0.5 ms
- HDD seek ~10 ms
- Cross-continent round trip ~150 ms
- 1 Gbps network ~125 MB/s
- A single Redis node ~100k simple ops/s; a single Postgres node a few thousand to ~10k simple queries/s; a typical app server ~1k-5k requests/s depending on work per request</t>
        </is>
      </c>
      <c r="G725" s="13" t="inlineStr"/>
    </row>
    <row r="726">
      <c r="A726" s="13" t="n">
        <v>61</v>
      </c>
      <c r="B726" s="24" t="n">
        <v>46353</v>
      </c>
      <c r="C726" s="13" t="inlineStr">
        <is>
          <t>HLD</t>
        </is>
      </c>
      <c r="D726" s="17" t="inlineStr">
        <is>
          <t>Advanced</t>
        </is>
      </c>
      <c r="E726" s="13" t="inlineStr">
        <is>
          <t>How do you estimate the number of servers and the cache size?</t>
        </is>
      </c>
      <c r="F726" s="13" t="inlineStr">
        <is>
          <t>Servers = peak QPS / QPS per server, then add 30-50% headroom plus N+1 redundancy; for example 20k peak / 1k per server = 20, so plan about 30. For cache, apply the 80/20 rule: cache the hot 20% of daily read data. If 1B reads/day touch 100M unique items of 1 KB each, 20% is about 20 GB, which fits on one or two Redis nodes with replicas.</t>
        </is>
      </c>
      <c r="G726" s="13" t="inlineStr"/>
    </row>
    <row r="727">
      <c r="A727" s="13" t="n">
        <v>61</v>
      </c>
      <c r="B727" s="24" t="n">
        <v>46353</v>
      </c>
      <c r="C727" s="13" t="inlineStr">
        <is>
          <t>HLD</t>
        </is>
      </c>
      <c r="D727" s="17" t="inlineStr">
        <is>
          <t>Advanced</t>
        </is>
      </c>
      <c r="E727" s="13" t="inlineStr">
        <is>
          <t>How do you sanity-check your estimates against known systems?</t>
        </is>
      </c>
      <c r="F727" s="13" t="inlineStr">
        <is>
          <t>Compare with public figures: WhatsApp handles on the order of 100B messages/day (about 1M/s), Twitter about 500M tweets/day (about 6k/s average), Google search around 100k queries/s. If a college app comes out at 1M QPS, an assumption is off. Also check per-unit sizes (bytes per row, KB per image), make sure the ratios are plausible, and see whether the final number fits on one machine, because that is the decision estimation is meant to drive.</t>
        </is>
      </c>
      <c r="G727" s="13" t="inlineStr"/>
    </row>
    <row r="728">
      <c r="A728" s="13" t="n">
        <v>61</v>
      </c>
      <c r="B728" s="24" t="n">
        <v>46353</v>
      </c>
      <c r="C728" s="13" t="inlineStr">
        <is>
          <t>LLD</t>
        </is>
      </c>
      <c r="D728" s="18" t="inlineStr">
        <is>
          <t>Basic</t>
        </is>
      </c>
      <c r="E728" s="13" t="inlineStr">
        <is>
          <t>What problem does the Composite pattern solve and who are its participants?</t>
        </is>
      </c>
      <c r="F728" s="13" t="inlineStr">
        <is>
          <t>Composite lets clients treat single objects and groups of objects the same way through one interface, which suits tree structures such as menus, org charts, bundles and UI trees. Participants: Component (common interface), Leaf (no children) and Composite (holds children and delegates to them). The client calls one operation on the root and recursion does the rest.</t>
        </is>
      </c>
      <c r="G728" s="13" t="inlineStr"/>
    </row>
    <row r="729">
      <c r="A729" s="13" t="n">
        <v>61</v>
      </c>
      <c r="B729" s="24" t="n">
        <v>46353</v>
      </c>
      <c r="C729" s="13" t="inlineStr">
        <is>
          <t>LLD</t>
        </is>
      </c>
      <c r="D729" s="18" t="inlineStr">
        <is>
          <t>Basic</t>
        </is>
      </c>
      <c r="E729" s="13" t="inlineStr">
        <is>
          <t>Where do you see Composite in the .NET ecosystem?</t>
        </is>
      </c>
      <c r="F729" s="13" t="inlineStr">
        <is>
          <t>WinForms and WPF control trees (Control.Controls and the visual tree)
- IConfigurationSection.GetChildren() in ASP.NET Core configuration
- XmlNode and XElement in XML DOM and LINQ to XML
- System.Linq.Expressions expression trees, where an expression contains child expressions</t>
        </is>
      </c>
      <c r="G729" s="13" t="inlineStr"/>
    </row>
    <row r="730">
      <c r="A730" s="13" t="n">
        <v>61</v>
      </c>
      <c r="B730" s="24" t="n">
        <v>46353</v>
      </c>
      <c r="C730" s="13" t="inlineStr">
        <is>
          <t>LLD</t>
        </is>
      </c>
      <c r="D730" s="16" t="inlineStr">
        <is>
          <t>Intermediate</t>
        </is>
      </c>
      <c r="E730" s="13" t="inlineStr">
        <is>
          <t>Transparent vs safe Composite: where should Add and Remove go?</t>
        </is>
      </c>
      <c r="F730" s="13" t="inlineStr">
        <is>
          <t>In the transparent version Add and Remove are on the Component interface, so the client treats everything uniformly but a leaf has to throw NotSupportedException. In the safe version they exist only on the Composite, which is type-safe, but the client must know when it holds a composite. In C# the safe version is usually preferred because it fails at compile time rather than at runtime.</t>
        </is>
      </c>
      <c r="G730" s="13" t="inlineStr"/>
    </row>
    <row r="731">
      <c r="A731" s="13" t="n">
        <v>61</v>
      </c>
      <c r="B731" s="24" t="n">
        <v>46353</v>
      </c>
      <c r="C731" s="13" t="inlineStr">
        <is>
          <t>LLD</t>
        </is>
      </c>
      <c r="D731" s="16" t="inlineStr">
        <is>
          <t>Intermediate</t>
        </is>
      </c>
      <c r="E731" s="13" t="inlineStr">
        <is>
          <t>Use Composite to price a shopping cart that contains products and discounted bundles.</t>
        </is>
      </c>
      <c r="F731" s="13" t="inlineStr">
        <is>
          <t>Both Product and Bundle implement IItem. A Bundle sums its children, which can be bundles themselves, and then applies its own discount.
```csharp
interface IItem { decimal Price(); }
class Product(decimal cost) : IItem { public decimal Price() =&gt; cost; }
class Bundle(decimal discount) : IItem {
    private readonly List&lt;IItem&gt; _items = new();
    public void Add(IItem item) =&gt; _items.Add(item);
    public decimal Price() =&gt; _items.Sum(i =&gt; i.Price()) * (1 - discount);
}
```</t>
        </is>
      </c>
      <c r="G731" s="13" t="inlineStr"/>
    </row>
    <row r="732">
      <c r="A732" s="13" t="n">
        <v>61</v>
      </c>
      <c r="B732" s="24" t="n">
        <v>46353</v>
      </c>
      <c r="C732" s="13" t="inlineStr">
        <is>
          <t>LLD</t>
        </is>
      </c>
      <c r="D732" s="17" t="inlineStr">
        <is>
          <t>Advanced</t>
        </is>
      </c>
      <c r="E732" s="13" t="inlineStr">
        <is>
          <t>How do you handle parent references, cycles and very deep trees in a Composite?</t>
        </is>
      </c>
      <c r="F732" s="13" t="inlineStr">
        <is>
          <t>Set a Parent reference inside Add so nodes can walk upward, for example to build paths or bubble size changes. Before adding a child, walk the ancestor chain and reject the add if the child is already an ancestor, otherwise you create a cycle and infinite recursion. For very deep trees, replace recursion with an explicit Stack&lt;T&gt; to avoid StackOverflowException, and cache aggregates such as total size and invalidate them up the parent chain on change.</t>
        </is>
      </c>
      <c r="G732" s="13" t="inlineStr"/>
    </row>
    <row r="733">
      <c r="A733" s="13" t="n">
        <v>61</v>
      </c>
      <c r="B733" s="24" t="n">
        <v>46353</v>
      </c>
      <c r="C733" s="13" t="inlineStr">
        <is>
          <t>LLD</t>
        </is>
      </c>
      <c r="D733" s="17" t="inlineStr">
        <is>
          <t>Advanced</t>
        </is>
      </c>
      <c r="E733" s="13" t="inlineStr">
        <is>
          <t>How does Composite work together with Iterator and Visitor?</t>
        </is>
      </c>
      <c r="F733" s="13" t="inlineStr">
        <is>
          <t>Iterator exposes traversal (DFS or BFS) through IEnumerable&lt;T&gt; with yield return, so clients can loop over the tree without knowing its shape. Visitor adds new operations such as export, search or size reports without changing node classes, using double dispatch through Accept(visitor). The trade-off is that Visitor makes adding a new node type expensive, because every visitor must change.</t>
        </is>
      </c>
      <c r="G733" s="13" t="inlineStr"/>
    </row>
    <row r="734">
      <c r="A734" s="13" t="n">
        <v>62</v>
      </c>
      <c r="B734" s="24" t="n">
        <v>46354</v>
      </c>
      <c r="C734" s="13" t="inlineStr">
        <is>
          <t>HLD</t>
        </is>
      </c>
      <c r="D734" s="18" t="inlineStr">
        <is>
          <t>Basic</t>
        </is>
      </c>
      <c r="E734" s="13" t="inlineStr">
        <is>
          <t>Walk me through your traffic platform project. How should you structure the 5-minute answer?</t>
        </is>
      </c>
      <c r="F734" s="13" t="inlineStr">
        <is>
          <t>Context and problem (who uses it and why)
- Scale numbers (events/sec, users, data volume)
- Data flow from ingestion through queue and processors to storage and APIs, drawn left to right
- Your specific part and the decisions you owned
- Impact with numbers, plus one challenge and what you learned</t>
        </is>
      </c>
      <c r="G734" s="13" t="inlineStr"/>
    </row>
    <row r="735">
      <c r="A735" s="13" t="n">
        <v>62</v>
      </c>
      <c r="B735" s="24" t="n">
        <v>46354</v>
      </c>
      <c r="C735" s="13" t="inlineStr">
        <is>
          <t>HLD</t>
        </is>
      </c>
      <c r="D735" s="18" t="inlineStr">
        <is>
          <t>Basic</t>
        </is>
      </c>
      <c r="E735" s="13" t="inlineStr">
        <is>
          <t>Why did you put a message queue between ingestion and processing?</t>
        </is>
      </c>
      <c r="F735" s="13" t="inlineStr">
        <is>
          <t>The queue decouples producers from consumers, so ingestion keeps accepting data even when processors are slow or down. It absorbs traffic bursts, lets each side scale independently, and gives you retries and dead-letter queues. The trade-off is at-least-once delivery, so consumers must be idempotent.</t>
        </is>
      </c>
      <c r="G735" s="13" t="inlineStr"/>
    </row>
    <row r="736">
      <c r="A736" s="13" t="n">
        <v>62</v>
      </c>
      <c r="B736" s="24" t="n">
        <v>46354</v>
      </c>
      <c r="C736" s="13" t="inlineStr">
        <is>
          <t>HLD</t>
        </is>
      </c>
      <c r="D736" s="16" t="inlineStr">
        <is>
          <t>Intermediate</t>
        </is>
      </c>
      <c r="E736" s="13" t="inlineStr">
        <is>
          <t>What throughput did the platform handle and where was the bottleneck?</t>
        </is>
      </c>
      <c r="F736" s="13" t="inlineStr">
        <is>
          <t>Give concrete numbers: average and peak events/sec, end-to-end latency and data per day. The usual bottleneck is database writes, so explain the fixes: batching or bulk inserts, time-based partitioning, indexing only what reads need, scaling consumers per partition, and caching the read APIs. Show that you measured the bottleneck (metrics, profiling) before fixing it.</t>
        </is>
      </c>
      <c r="G736" s="13" t="inlineStr"/>
    </row>
    <row r="737">
      <c r="A737" s="13" t="n">
        <v>62</v>
      </c>
      <c r="B737" s="24" t="n">
        <v>46354</v>
      </c>
      <c r="C737" s="13" t="inlineStr">
        <is>
          <t>HLD</t>
        </is>
      </c>
      <c r="D737" s="16" t="inlineStr">
        <is>
          <t>Intermediate</t>
        </is>
      </c>
      <c r="E737" s="13" t="inlineStr">
        <is>
          <t>How did you make sure no data was lost or processed twice?</t>
        </is>
      </c>
      <c r="F737" s="13" t="inlineStr">
        <is>
          <t>Messages were acknowledged only after processing succeeded, and failures were retried with exponential backoff before moving to a DLQ for inspection. Consumers were idempotent: upserts keyed by event ID, or a processed-IDs table with a unique constraint. Where a DB write and a publish had to happen together, an outbox table avoided the dual-write problem, and consumer lag was monitored and alerted on.</t>
        </is>
      </c>
      <c r="G737" s="13" t="inlineStr"/>
    </row>
    <row r="738">
      <c r="A738" s="13" t="n">
        <v>62</v>
      </c>
      <c r="B738" s="24" t="n">
        <v>46354</v>
      </c>
      <c r="C738" s="13" t="inlineStr">
        <is>
          <t>HLD</t>
        </is>
      </c>
      <c r="D738" s="17" t="inlineStr">
        <is>
          <t>Advanced</t>
        </is>
      </c>
      <c r="E738" s="13" t="inlineStr">
        <is>
          <t>What would you change if traffic grew 10x?</t>
        </is>
      </c>
      <c r="F738" s="13" t="inlineStr">
        <is>
          <t>Increase partitions and key them by region or device so consumers scale horizontally
- Autoscale consumers on queue lag (for example KEDA on Container Apps or AKS)
- Move hot append-only writes to a time-series or partitioned store and keep aggregates precomputed
- Add read replicas and a cache for dashboards
- Apply backpressure and rate limits at ingestion
- Load-test to find the next bottleneck before it finds you</t>
        </is>
      </c>
      <c r="G738" s="13" t="inlineStr"/>
    </row>
    <row r="739">
      <c r="A739" s="13" t="n">
        <v>62</v>
      </c>
      <c r="B739" s="24" t="n">
        <v>46354</v>
      </c>
      <c r="C739" s="13" t="inlineStr">
        <is>
          <t>HLD</t>
        </is>
      </c>
      <c r="D739" s="17" t="inlineStr">
        <is>
          <t>Advanced</t>
        </is>
      </c>
      <c r="E739" s="13" t="inlineStr">
        <is>
          <t>Tell me about a production issue on this platform and how you debugged it.</t>
        </is>
      </c>
      <c r="F739" s="13" t="inlineStr">
        <is>
          <t>Use STAR with a real incident, for example consumer lag spiking because a poison message kept failing or a slow query blocked writes. Explain how you found it: alerts, dashboards, logs with correlation IDs in Application Insights, then isolating the root cause. Finish with the fix (DLQ, index, batching) and the prevention step (a lag alert, a load test, a runbook), with numbers such as time to detect and resolve.</t>
        </is>
      </c>
      <c r="G739" s="13" t="inlineStr"/>
    </row>
    <row r="740">
      <c r="A740" s="13" t="n">
        <v>62</v>
      </c>
      <c r="B740" s="24" t="n">
        <v>46354</v>
      </c>
      <c r="C740" s="13" t="inlineStr">
        <is>
          <t>LLD</t>
        </is>
      </c>
      <c r="D740" s="18" t="inlineStr">
        <is>
          <t>Basic</t>
        </is>
      </c>
      <c r="E740" s="13" t="inlineStr">
        <is>
          <t>Parking lot mock: which requirements do you clarify in the first 5 minutes?</t>
        </is>
      </c>
      <c r="F740" s="13" t="inlineStr">
        <is>
          <t>Number of floors and entry/exit gates
- Vehicle types (bike, car, truck) and spot types (small, compact, large, EV)
- Ticket issued at entry, fee paid at exit, and the pricing model (hourly, flat, per spot type)
- Payment methods and display boards showing free spots
- Whether several gates work concurrently, and what is out of scope (reservations, valet)</t>
        </is>
      </c>
      <c r="G740" s="13" t="inlineStr"/>
    </row>
    <row r="741">
      <c r="A741" s="13" t="n">
        <v>62</v>
      </c>
      <c r="B741" s="24" t="n">
        <v>46354</v>
      </c>
      <c r="C741" s="13" t="inlineStr">
        <is>
          <t>LLD</t>
        </is>
      </c>
      <c r="D741" s="18" t="inlineStr">
        <is>
          <t>Basic</t>
        </is>
      </c>
      <c r="E741" s="13" t="inlineStr">
        <is>
          <t>Which core classes would you define for the parking lot?</t>
        </is>
      </c>
      <c r="F741" s="13" t="inlineStr">
        <is>
          <t>ParkingLot (root), ParkingFloor, ParkingSpot (with SpotType), Vehicle (with VehicleType), Ticket (entry time, spot, vehicle), EntryGate and ExitGate, IPricingStrategy, ISpotAllocationStrategy, Payment and DisplayBoard. Keep enums for types unless behaviour really differs, and keep the ParkingLot as a coordinator that delegates to strategies rather than a god class.</t>
        </is>
      </c>
      <c r="G741" s="13" t="inlineStr"/>
    </row>
    <row r="742">
      <c r="A742" s="13" t="n">
        <v>62</v>
      </c>
      <c r="B742" s="24" t="n">
        <v>46354</v>
      </c>
      <c r="C742" s="13" t="inlineStr">
        <is>
          <t>LLD</t>
        </is>
      </c>
      <c r="D742" s="16" t="inlineStr">
        <is>
          <t>Intermediate</t>
        </is>
      </c>
      <c r="E742" s="13" t="inlineStr">
        <is>
          <t>How do you allocate a spot, and which pattern fits?</t>
        </is>
      </c>
      <c r="F742" s="13" t="inlineStr">
        <is>
          <t>Use Strategy: ISpotAllocationStrategy with implementations such as NearestToGate or FirstAvailableFloor, so the policy can change without touching ParkingLot. For speed, keep free spots per SpotType in a queue or sorted set, so finding a spot is O(1) or O(log n) instead of scanning every floor. Map vehicle type to compatible spot types (a bike can use a small spot, or a larger one if small spots are full).</t>
        </is>
      </c>
      <c r="G742" s="13" t="inlineStr"/>
    </row>
    <row r="743">
      <c r="A743" s="13" t="n">
        <v>62</v>
      </c>
      <c r="B743" s="24" t="n">
        <v>46354</v>
      </c>
      <c r="C743" s="13" t="inlineStr">
        <is>
          <t>LLD</t>
        </is>
      </c>
      <c r="D743" s="16" t="inlineStr">
        <is>
          <t>Intermediate</t>
        </is>
      </c>
      <c r="E743" s="13" t="inlineStr">
        <is>
          <t>How do you make fee calculation flexible and testable?</t>
        </is>
      </c>
      <c r="F743" s="13" t="inlineStr">
        <is>
          <t>Put pricing behind IPricingStrategy (hourly slabs, flat rate, weekend rate) and pick the strategy per spot type or lot. Surcharges such as EV charging or peak hours can be decorators around the base strategy. Inject a clock (TimeProvider in .NET 8) instead of calling DateTime.Now, so tests can control entry and exit times.</t>
        </is>
      </c>
      <c r="G743" s="13" t="inlineStr"/>
    </row>
    <row r="744">
      <c r="A744" s="13" t="n">
        <v>62</v>
      </c>
      <c r="B744" s="24" t="n">
        <v>46354</v>
      </c>
      <c r="C744" s="13" t="inlineStr">
        <is>
          <t>LLD</t>
        </is>
      </c>
      <c r="D744" s="17" t="inlineStr">
        <is>
          <t>Advanced</t>
        </is>
      </c>
      <c r="E744" s="13" t="inlineStr">
        <is>
          <t>Two entry gates try to assign the same spot at the same time. How do you prevent it?</t>
        </is>
      </c>
      <c r="F744" s="13" t="inlineStr">
        <is>
          <t>In memory, keep free spots per type in a ConcurrentQueue&lt;ParkingSpot&gt;: TryDequeue is atomic, so each spot goes to exactly one gate. Alternatively lock per spot type or per floor, which is a finer lock than locking the whole lot. If spots are stored in a database, use a conditional update (UPDATE spot SET status = Occupied WHERE id = @id AND status = Free) or a rowversion column and check the affected row count.</t>
        </is>
      </c>
      <c r="G744" s="13" t="inlineStr"/>
    </row>
    <row r="745">
      <c r="A745" s="13" t="n">
        <v>62</v>
      </c>
      <c r="B745" s="24" t="n">
        <v>46354</v>
      </c>
      <c r="C745" s="13" t="inlineStr">
        <is>
          <t>LLD</t>
        </is>
      </c>
      <c r="D745" s="17" t="inlineStr">
        <is>
          <t>Advanced</t>
        </is>
      </c>
      <c r="E745" s="13" t="inlineStr">
        <is>
          <t>How would you extend the design for EV charging spots and reservations?</t>
        </is>
      </c>
      <c r="F745" s="13" t="inlineStr">
        <is>
          <t>Add an EV spot type and capability flags, and let the allocation strategy match vehicle needs to spot capabilities, so existing classes stay closed for modification. For reservations add a Reservation entity with a time window and give spots a small state machine (Free, Reserved, Occupied). DisplayBoards observe spot state changes (Observer), so new states update counts automatically.</t>
        </is>
      </c>
      <c r="G745" s="13" t="inlineStr"/>
    </row>
    <row r="746">
      <c r="A746" s="13" t="n">
        <v>63</v>
      </c>
      <c r="B746" s="24" t="n">
        <v>46355</v>
      </c>
      <c r="C746" s="13" t="inlineStr">
        <is>
          <t>HLD</t>
        </is>
      </c>
      <c r="D746" s="18" t="inlineStr">
        <is>
          <t>Basic</t>
        </is>
      </c>
      <c r="E746" s="13" t="inlineStr">
        <is>
          <t>What single template do you use for every HLD case study?</t>
        </is>
      </c>
      <c r="F746" s="13" t="inlineStr">
        <is>
          <t>Requirements, functional and non-functional (about 5 min)
- Estimates: QPS, storage, bandwidth (about 5 min)
- API design (about 5 min)
- Data model and choice of store (about 5 min)
- High-level diagram (about 10 min)
- Deep dives, scaling and bottlenecks, then a wrap-up with trade-offs (about 15 min)</t>
        </is>
      </c>
      <c r="G746" s="13" t="inlineStr"/>
    </row>
    <row r="747">
      <c r="A747" s="13" t="n">
        <v>63</v>
      </c>
      <c r="B747" s="24" t="n">
        <v>46355</v>
      </c>
      <c r="C747" s="13" t="inlineStr">
        <is>
          <t>HLD</t>
        </is>
      </c>
      <c r="D747" s="18" t="inlineStr">
        <is>
          <t>Basic</t>
        </is>
      </c>
      <c r="E747" s="13" t="inlineStr">
        <is>
          <t>Rapid-fire: how does a distributed rate limiter on Redis work?</t>
        </is>
      </c>
      <c r="F747" s="13" t="inlineStr">
        <is>
          <t>For a fixed window, INCR a key such as rl:user:minute and set EXPIRE on the first hit, rejecting requests once the count exceeds the limit. For a sliding window log, use a sorted set: ZREMRANGEBYSCORE to drop old timestamps, ZCARD to count and ZADD to add the current request. Wrap the steps in a Lua script so they run atomically, and decide whether to fail open or fail closed when Redis is down.</t>
        </is>
      </c>
      <c r="G747" s="13" t="inlineStr"/>
    </row>
    <row r="748">
      <c r="A748" s="13" t="n">
        <v>63</v>
      </c>
      <c r="B748" s="24" t="n">
        <v>46355</v>
      </c>
      <c r="C748" s="13" t="inlineStr">
        <is>
          <t>HLD</t>
        </is>
      </c>
      <c r="D748" s="16" t="inlineStr">
        <is>
          <t>Intermediate</t>
        </is>
      </c>
      <c r="E748" s="13" t="inlineStr">
        <is>
          <t>Rapid-fire: how does a job scheduler avoid running the same job twice?</t>
        </is>
      </c>
      <c r="F748" s="13" t="inlineStr">
        <is>
          <t>A worker claims a job with an atomic conditional update (set owner and lease_until where status is pending or the lease has expired) and renews the lease with heartbeats while it runs. If the worker dies the lease expires and another worker picks the job up. Because a job can still run twice around a lease expiry, jobs must be idempotent: exactly-once in practice means at-least-once plus idempotency.</t>
        </is>
      </c>
      <c r="G748" s="13" t="inlineStr"/>
    </row>
    <row r="749">
      <c r="A749" s="13" t="n">
        <v>63</v>
      </c>
      <c r="B749" s="24" t="n">
        <v>46355</v>
      </c>
      <c r="C749" s="13" t="inlineStr">
        <is>
          <t>HLD</t>
        </is>
      </c>
      <c r="D749" s="16" t="inlineStr">
        <is>
          <t>Intermediate</t>
        </is>
      </c>
      <c r="E749" s="13" t="inlineStr">
        <is>
          <t>Rapid-fire: saga vs outbox in the event-driven order system?</t>
        </is>
      </c>
      <c r="F749" s="13" t="inlineStr">
        <is>
          <t>A saga splits a multi-service transaction into local transactions with compensating actions (for example refund payment if inventory fails), coordinated by events (choreography) or by a central orchestrator. The outbox pattern writes the event into an outbox table in the same DB transaction as the state change, and a relay publishes it, which solves the dual-write problem. They are used together: each saga step publishes its events through an outbox.</t>
        </is>
      </c>
      <c r="G749" s="13" t="inlineStr"/>
    </row>
    <row r="750">
      <c r="A750" s="13" t="n">
        <v>63</v>
      </c>
      <c r="B750" s="24" t="n">
        <v>46355</v>
      </c>
      <c r="C750" s="13" t="inlineStr">
        <is>
          <t>HLD</t>
        </is>
      </c>
      <c r="D750" s="17" t="inlineStr">
        <is>
          <t>Advanced</t>
        </is>
      </c>
      <c r="E750" s="13" t="inlineStr">
        <is>
          <t>Rapid-fire: how do chunking, dedupe and sync work in Dropbox?</t>
        </is>
      </c>
      <c r="F750" s="13" t="inlineStr">
        <is>
          <t>Files are split into roughly 4 MB chunks, each identified by its SHA-256 hash, and the client uploads only the chunks the block store does not already have. The metadata DB maps each file version to an ordered list of chunk hashes. Other devices are notified of changes (long polling or WebSocket), download only the changed chunks, and if two devices edit the same base version the later one is saved as a conflicted copy.</t>
        </is>
      </c>
      <c r="G750" s="13" t="inlineStr"/>
    </row>
    <row r="751">
      <c r="A751" s="13" t="n">
        <v>63</v>
      </c>
      <c r="B751" s="24" t="n">
        <v>46355</v>
      </c>
      <c r="C751" s="13" t="inlineStr">
        <is>
          <t>HLD</t>
        </is>
      </c>
      <c r="D751" s="17" t="inlineStr">
        <is>
          <t>Advanced</t>
        </is>
      </c>
      <c r="E751" s="13" t="inlineStr">
        <is>
          <t>What weak spots do candidates commonly show across these case studies, and how do you fix them?</t>
        </is>
      </c>
      <c r="F751" s="13" t="inlineStr">
        <is>
          <t>No numbers, so no justification for sharding or caching
- Ignoring failure modes: what happens if Redis, a worker or the broker dies
- Forgetting idempotency on retries and at-least-once consumers
- Single points of failure and unexplained consistency choices
- Vague partition keys. Fix: finish every design with an explicit failure pass and a 10x scaling pass</t>
        </is>
      </c>
      <c r="G751" s="13" t="inlineStr"/>
    </row>
    <row r="752">
      <c r="A752" s="13" t="n">
        <v>63</v>
      </c>
      <c r="B752" s="24" t="n">
        <v>46355</v>
      </c>
      <c r="C752" s="13" t="inlineStr">
        <is>
          <t>LLD</t>
        </is>
      </c>
      <c r="D752" s="18" t="inlineStr">
        <is>
          <t>Basic</t>
        </is>
      </c>
      <c r="E752" s="13" t="inlineStr">
        <is>
          <t>Command pattern in one line: what is it and who are the participants?</t>
        </is>
      </c>
      <c r="F752" s="13" t="inlineStr">
        <is>
          <t>Command wraps a request in an object, so it can be queued, logged, scheduled, retried or undone. Participants: the Command interface (Execute), ConcreteCommand, the Receiver that does the real work, the Invoker that triggers commands, and the Client that wires them together.</t>
        </is>
      </c>
      <c r="G752" s="13" t="inlineStr"/>
    </row>
    <row r="753">
      <c r="A753" s="13" t="n">
        <v>63</v>
      </c>
      <c r="B753" s="24" t="n">
        <v>46355</v>
      </c>
      <c r="C753" s="13" t="inlineStr">
        <is>
          <t>LLD</t>
        </is>
      </c>
      <c r="D753" s="18" t="inlineStr">
        <is>
          <t>Basic</t>
        </is>
      </c>
      <c r="E753" s="13" t="inlineStr">
        <is>
          <t>State pattern in one line: how is it better than a big switch statement?</t>
        </is>
      </c>
      <c r="F753" s="13" t="inlineStr">
        <is>
          <t>State lets an object change its behaviour when its internal state changes by delegating to a state object, where each state class handles its own events and transitions. This removes large switch or if-else blocks spread across methods, keeps each state's rules in one place, and lets you add new states without editing the existing ones.</t>
        </is>
      </c>
      <c r="G753" s="13" t="inlineStr"/>
    </row>
    <row r="754">
      <c r="A754" s="13" t="n">
        <v>63</v>
      </c>
      <c r="B754" s="24" t="n">
        <v>46355</v>
      </c>
      <c r="C754" s="13" t="inlineStr">
        <is>
          <t>LLD</t>
        </is>
      </c>
      <c r="D754" s="16" t="inlineStr">
        <is>
          <t>Intermediate</t>
        </is>
      </c>
      <c r="E754" s="13" t="inlineStr">
        <is>
          <t>How do you implement undo and redo with Command?</t>
        </is>
      </c>
      <c r="F754" s="13" t="inlineStr">
        <is>
          <t>Keep two stacks. Execute pushes onto undo and clears redo; Undo pops, calls Unexecute and pushes onto redo; Redo does the reverse.
```csharp
interface ICommand { void Execute(); void Undo(); }
class History {
    private readonly Stack&lt;ICommand&gt; _undo = new(), _redo = new();
    public void Run(ICommand c) { c.Execute(); _undo.Push(c); _redo.Clear(); }
    public void Undo() { if (_undo.TryPop(out var c)) { c.Undo(); _redo.Push(c); } }
    public void Redo() { if (_redo.TryPop(out var c)) { c.Execute(); _undo.Push(c); } }
}
```</t>
        </is>
      </c>
      <c r="G754" s="13" t="inlineStr"/>
    </row>
    <row r="755">
      <c r="A755" s="13" t="n">
        <v>63</v>
      </c>
      <c r="B755" s="24" t="n">
        <v>46355</v>
      </c>
      <c r="C755" s="13" t="inlineStr">
        <is>
          <t>LLD</t>
        </is>
      </c>
      <c r="D755" s="16" t="inlineStr">
        <is>
          <t>Intermediate</t>
        </is>
      </c>
      <c r="E755" s="13" t="inlineStr">
        <is>
          <t>State vs Strategy: they look the same in a class diagram, so what is the difference?</t>
        </is>
      </c>
      <c r="F755" s="13" t="inlineStr">
        <is>
          <t>Both delegate to an interface. With Strategy the client picks an algorithm, and strategies are independent and usually fixed for the operation. With State the context moves between states over its lifetime, and states often know about each other and trigger the transitions themselves. Rule of thumb: if the behaviour changes because of what happened to the object, use State; if it is a configurable choice, use Strategy.</t>
        </is>
      </c>
      <c r="G755" s="13" t="inlineStr"/>
    </row>
    <row r="756">
      <c r="A756" s="13" t="n">
        <v>63</v>
      </c>
      <c r="B756" s="24" t="n">
        <v>46355</v>
      </c>
      <c r="C756" s="13" t="inlineStr">
        <is>
          <t>LLD</t>
        </is>
      </c>
      <c r="D756" s="17" t="inlineStr">
        <is>
          <t>Advanced</t>
        </is>
      </c>
      <c r="E756" s="13" t="inlineStr">
        <is>
          <t>How do you persist an object that uses the State pattern with EF Core?</t>
        </is>
      </c>
      <c r="F756" s="13" t="inlineStr">
        <is>
          <t>Store the state as an enum or string column, not as the state object. When loading, rebuild the state object through a small factory or a switch on the enum; stateless state objects can be shared singletons. Protect transitions with optimistic concurrency (a rowversion or conditional update WHERE status = @expected) so two requests cannot both move the entity from the same state.</t>
        </is>
      </c>
      <c r="G756" s="13" t="inlineStr"/>
    </row>
    <row r="757">
      <c r="A757" s="13" t="n">
        <v>63</v>
      </c>
      <c r="B757" s="24" t="n">
        <v>46355</v>
      </c>
      <c r="C757" s="13" t="inlineStr">
        <is>
          <t>LLD</t>
        </is>
      </c>
      <c r="D757" s="17" t="inlineStr">
        <is>
          <t>Advanced</t>
        </is>
      </c>
      <c r="E757" s="13" t="inlineStr">
        <is>
          <t>Give an example design that combines Composite, Command and State.</t>
        </is>
      </c>
      <c r="F757" s="13" t="inlineStr">
        <is>
          <t>A task scheduler: every job is a Command (Execute, Undo or Compensate) placed in a priority queue. A workflow is a Composite (macro) command whose Execute runs its child commands in order. Each job has a State lifecycle (Pending, Running, Succeeded, Failed, Retrying) that decides which actions are allowed, such as retrying only from Failed.</t>
        </is>
      </c>
      <c r="G757" s="13" t="inlineStr"/>
    </row>
    <row r="758">
      <c r="A758" s="13" t="n">
        <v>64</v>
      </c>
      <c r="B758" s="24" t="n">
        <v>46356</v>
      </c>
      <c r="C758" s="13" t="inlineStr">
        <is>
          <t>HLD</t>
        </is>
      </c>
      <c r="D758" s="18" t="inlineStr">
        <is>
          <t>Basic</t>
        </is>
      </c>
      <c r="E758" s="13" t="inlineStr">
        <is>
          <t>Why use Redis sorted sets for a leaderboard instead of a SQL ORDER BY?</t>
        </is>
      </c>
      <c r="F758" s="13" t="inlineStr">
        <is>
          <t>A sorted set (ZSET) keeps members ordered by score using a skip list plus a hash table. Updates (ZADD, ZINCRBY) cost O(log N), top-N reads (ZREVRANGE) cost O(log N + M), and rank lookups (ZREVRANK) cost O(log N). Running ORDER BY score with a rank calculation over millions of rows on every request is far too slow and puts load on the primary database.</t>
        </is>
      </c>
      <c r="G758" s="13" t="inlineStr"/>
    </row>
    <row r="759">
      <c r="A759" s="13" t="n">
        <v>64</v>
      </c>
      <c r="B759" s="24" t="n">
        <v>46356</v>
      </c>
      <c r="C759" s="13" t="inlineStr">
        <is>
          <t>HLD</t>
        </is>
      </c>
      <c r="D759" s="18" t="inlineStr">
        <is>
          <t>Basic</t>
        </is>
      </c>
      <c r="E759" s="13" t="inlineStr">
        <is>
          <t>Which commands give you the top 10 and a given user's rank?</t>
        </is>
      </c>
      <c r="F759" s="13" t="inlineStr">
        <is>
          <t>ZREVRANGE lb 0 9 WITHSCORES returns the top 10 with scores. ZREVRANK lb user42 returns the 0-based rank (add 1 for display), and ZSCORE returns the score. For an around-me view, get the rank r and then ZREVRANGE lb r-5 r+5.</t>
        </is>
      </c>
      <c r="G759" s="13" t="inlineStr"/>
    </row>
    <row r="760">
      <c r="A760" s="13" t="n">
        <v>64</v>
      </c>
      <c r="B760" s="24" t="n">
        <v>46356</v>
      </c>
      <c r="C760" s="13" t="inlineStr">
        <is>
          <t>HLD</t>
        </is>
      </c>
      <c r="D760" s="16" t="inlineStr">
        <is>
          <t>Intermediate</t>
        </is>
      </c>
      <c r="E760" s="13" t="inlineStr">
        <is>
          <t>How do you handle ties and daily or weekly leaderboards?</t>
        </is>
      </c>
      <c r="F760" s="13" t="inlineStr">
        <is>
          <t>For ties, encode a tie-breaker in the score, for example score x 10^10 + (MAX_TS - achievedAt), so whoever reached the score first ranks higher; keep the total under 2^53 because scores are doubles. For periods, use separate keys such as lb:daily:2026-09-25 with a TTL. A weekly board can be built with ZUNIONSTORE over the daily keys, or updated alongside them.</t>
        </is>
      </c>
      <c r="G760" s="13" t="inlineStr"/>
    </row>
    <row r="761">
      <c r="A761" s="13" t="n">
        <v>64</v>
      </c>
      <c r="B761" s="24" t="n">
        <v>46356</v>
      </c>
      <c r="C761" s="13" t="inlineStr">
        <is>
          <t>HLD</t>
        </is>
      </c>
      <c r="D761" s="16" t="inlineStr">
        <is>
          <t>Intermediate</t>
        </is>
      </c>
      <c r="E761" s="13" t="inlineStr">
        <is>
          <t>What is the source of truth for a leaderboard, and what happens if Redis loses data?</t>
        </is>
      </c>
      <c r="F761" s="13" t="inlineStr">
        <is>
          <t>Treat Redis as a derived, fast view. Score events or totals are written durably to a database or an event log such as Kafka, and Redis is updated from them either synchronously after the DB write or by a consumer. If Redis loses data it is rebuilt from the durable store; Redis replicas plus AOF persistence reduce how often that happens.</t>
        </is>
      </c>
      <c r="G761" s="13" t="inlineStr"/>
    </row>
    <row r="762">
      <c r="A762" s="13" t="n">
        <v>64</v>
      </c>
      <c r="B762" s="24" t="n">
        <v>46356</v>
      </c>
      <c r="C762" s="13" t="inlineStr">
        <is>
          <t>HLD</t>
        </is>
      </c>
      <c r="D762" s="17" t="inlineStr">
        <is>
          <t>Advanced</t>
        </is>
      </c>
      <c r="E762" s="13" t="inlineStr">
        <is>
          <t>How do you shard a leaderboard with hundreds of millions of users?</t>
        </is>
      </c>
      <c r="F762" s="13" t="inlineStr">
        <is>
          <t>Sharding by user hash makes top-N easy (take the top N from each shard and merge), but an exact global rank then needs a count from every shard. Sharding by score range makes rank simple: users in all higher-score shards plus the rank within the user's own shard, but score ranges must be rebalanced as scores drift. For non-top users, many products show an approximate rank or percentile computed from a score histogram.</t>
        </is>
      </c>
      <c r="G762" s="13" t="inlineStr"/>
    </row>
    <row r="763">
      <c r="A763" s="13" t="n">
        <v>64</v>
      </c>
      <c r="B763" s="24" t="n">
        <v>46356</v>
      </c>
      <c r="C763" s="13" t="inlineStr">
        <is>
          <t>HLD</t>
        </is>
      </c>
      <c r="D763" s="17" t="inlineStr">
        <is>
          <t>Advanced</t>
        </is>
      </c>
      <c r="E763" s="13" t="inlineStr">
        <is>
          <t>How do you handle millions of score updates per second?</t>
        </is>
      </c>
      <c r="F763" s="13" t="inlineStr">
        <is>
          <t>Do not write each event straight into one ZSET. Stream events through Kafka or Event Hubs, aggregate per user over short windows, and apply the updates to Redis in pipelined batches. Partition by game or region so each ZSET stays within one node's throughput, and accept a few seconds of eventual consistency. Where exactness is not needed, heavy-hitter algorithms such as Count-Min Sketch plus a top-K heap give an approximate top-K.</t>
        </is>
      </c>
      <c r="G763" s="13" t="inlineStr"/>
    </row>
    <row r="764">
      <c r="A764" s="13" t="n">
        <v>64</v>
      </c>
      <c r="B764" s="24" t="n">
        <v>46356</v>
      </c>
      <c r="C764" s="13" t="inlineStr">
        <is>
          <t>LLD</t>
        </is>
      </c>
      <c r="D764" s="18" t="inlineStr">
        <is>
          <t>Basic</t>
        </is>
      </c>
      <c r="E764" s="13" t="inlineStr">
        <is>
          <t>Which C# collections would you use for an in-memory leaderboard?</t>
        </is>
      </c>
      <c r="F764" s="13" t="inlineStr">
        <is>
          <t>A Dictionary&lt;string, int&gt; from user ID to score for O(1) lookups, plus a SortedSet&lt;(int Score, string Id)&gt; with a custom comparer for ordering (a red-black tree with O(log n) insert and remove). If you only need a one-off top K from a stream, a PriorityQueue&lt;TElement, TPriority&gt; used as a min-heap is enough.</t>
        </is>
      </c>
      <c r="G764" s="13" t="inlineStr"/>
    </row>
    <row r="765">
      <c r="A765" s="13" t="n">
        <v>64</v>
      </c>
      <c r="B765" s="24" t="n">
        <v>46356</v>
      </c>
      <c r="C765" s="13" t="inlineStr">
        <is>
          <t>LLD</t>
        </is>
      </c>
      <c r="D765" s="18" t="inlineStr">
        <is>
          <t>Basic</t>
        </is>
      </c>
      <c r="E765" s="13" t="inlineStr">
        <is>
          <t>Why not just keep a List and sort it on every query?</t>
        </is>
      </c>
      <c r="F765" s="13" t="inlineStr">
        <is>
          <t>Sorting costs O(n log n) on every read, which does not work for a live leaderboard. SortedList&lt;TKey, TValue&gt; costs O(n) per insert because it shifts an array. A balanced tree such as SortedSet keeps updates at O(log n), and top K costs O(k) by enumerating from the start.</t>
        </is>
      </c>
      <c r="G765" s="13" t="inlineStr"/>
    </row>
    <row r="766">
      <c r="A766" s="13" t="n">
        <v>64</v>
      </c>
      <c r="B766" s="24" t="n">
        <v>46356</v>
      </c>
      <c r="C766" s="13" t="inlineStr">
        <is>
          <t>LLD</t>
        </is>
      </c>
      <c r="D766" s="16" t="inlineStr">
        <is>
          <t>Intermediate</t>
        </is>
      </c>
      <c r="E766" s="13" t="inlineStr">
        <is>
          <t>Implement AddScore and Top(k).</t>
        </is>
      </c>
      <c r="F766" s="13" t="inlineStr">
        <is>
          <t>The ordering key changes when the score changes, so remove the old tuple before adding the new one.
```csharp
class Leaderboard {
    private readonly Dictionary&lt;string, int&gt; _scores = new();
    private readonly SortedSet&lt;(int Score, string Id)&gt; _set = new(Comparer&lt;(int Score, string Id)&gt;.Create(
        (a, b) =&gt; a.Score != b.Score ? b.Score.CompareTo(a.Score) : string.CompareOrdinal(a.Id, b.Id)));
    public void AddScore(string id, int delta) {
        if (_scores.TryGetValue(id, out var old)) _set.Remove((old, id));
        _scores[id] = old + delta;
        _set.Add((old + delta, id));
    }
    public IEnumerable&lt;(int Score, string Id)&gt; Top(int k) =&gt; _set.Take(k);
}
```</t>
        </is>
      </c>
      <c r="G766" s="13" t="inlineStr"/>
    </row>
    <row r="767">
      <c r="A767" s="13" t="n">
        <v>64</v>
      </c>
      <c r="B767" s="24" t="n">
        <v>46356</v>
      </c>
      <c r="C767" s="13" t="inlineStr">
        <is>
          <t>LLD</t>
        </is>
      </c>
      <c r="D767" s="16" t="inlineStr">
        <is>
          <t>Intermediate</t>
        </is>
      </c>
      <c r="E767" s="13" t="inlineStr">
        <is>
          <t>How do you get the top K from a stream of scores with PriorityQueue?</t>
        </is>
      </c>
      <c r="F767" s="13" t="inlineStr">
        <is>
          <t>Keep a min-heap of size K: enqueue each item with its score as priority, and when Count exceeds K, dequeue the smallest. At the end the heap holds the K largest, in O(n log k) time and O(k) memory. This works for batch or stream top-K but not for a live board where the same user's score keeps changing, because PriorityQueue cannot update or remove arbitrary elements.</t>
        </is>
      </c>
      <c r="G767" s="13" t="inlineStr"/>
    </row>
    <row r="768">
      <c r="A768" s="13" t="n">
        <v>64</v>
      </c>
      <c r="B768" s="24" t="n">
        <v>46356</v>
      </c>
      <c r="C768" s="13" t="inlineStr">
        <is>
          <t>LLD</t>
        </is>
      </c>
      <c r="D768" s="17" t="inlineStr">
        <is>
          <t>Advanced</t>
        </is>
      </c>
      <c r="E768" s="13" t="inlineStr">
        <is>
          <t>How do you get a user's rank in O(log n)?</t>
        </is>
      </c>
      <c r="F768" s="13" t="inlineStr">
        <is>
          <t>SortedSet does not expose element indexes, and GetViewBetween(...).Count is O(n), so you need something else. Use an order-statistic tree (a balanced tree where each node stores its subtree size) so rank is O(log n). If scores are bounded integers, a Fenwick tree (Binary Indexed Tree) of counts per score gives rank = number of users with a higher score as a prefix sum in O(log maxScore).</t>
        </is>
      </c>
      <c r="G768" s="13" t="inlineStr"/>
    </row>
    <row r="769">
      <c r="A769" s="13" t="n">
        <v>64</v>
      </c>
      <c r="B769" s="24" t="n">
        <v>46356</v>
      </c>
      <c r="C769" s="13" t="inlineStr">
        <is>
          <t>LLD</t>
        </is>
      </c>
      <c r="D769" s="17" t="inlineStr">
        <is>
          <t>Advanced</t>
        </is>
      </c>
      <c r="E769" s="13" t="inlineStr">
        <is>
          <t>How do you make the leaderboard thread-safe and support different ranking rules?</t>
        </is>
      </c>
      <c r="F769" s="13" t="inlineStr">
        <is>
          <t>The Dictionary and SortedSet must change together, so use one lock around both (or ReaderWriterLockSlim for read-heavy use). A ConcurrentDictionary alone does not make the two-structure update atomic. Inject the comparer as a strategy (score then time, score then name) behind an ILeaderboard interface, and raise events or use Observer when a user's rank changes.</t>
        </is>
      </c>
      <c r="G769" s="13" t="inlineStr"/>
    </row>
    <row r="770">
      <c r="A770" s="13" t="n">
        <v>65</v>
      </c>
      <c r="B770" s="24" t="n">
        <v>46357</v>
      </c>
      <c r="C770" s="13" t="inlineStr">
        <is>
          <t>HLD</t>
        </is>
      </c>
      <c r="D770" s="18" t="inlineStr">
        <is>
          <t>Basic</t>
        </is>
      </c>
      <c r="E770" s="13" t="inlineStr">
        <is>
          <t>What are the main components of a basic Instagram design?</t>
        </is>
      </c>
      <c r="F770" s="13" t="inlineStr">
        <is>
          <t>An upload service, blob storage (S3 or Azure Blob) behind a CDN for media, a metadata database for users, posts and follows, a feed service with a feed cache (for example Redis lists of post IDs), and a notification service. The system is heavily read-dominated, around 100:1, so caching and the CDN matter most.</t>
        </is>
      </c>
      <c r="G770" s="13" t="inlineStr"/>
    </row>
    <row r="771">
      <c r="A771" s="13" t="n">
        <v>65</v>
      </c>
      <c r="B771" s="24" t="n">
        <v>46357</v>
      </c>
      <c r="C771" s="13" t="inlineStr">
        <is>
          <t>HLD</t>
        </is>
      </c>
      <c r="D771" s="18" t="inlineStr">
        <is>
          <t>Basic</t>
        </is>
      </c>
      <c r="E771" s="13" t="inlineStr">
        <is>
          <t>How does the photo upload pipeline work?</t>
        </is>
      </c>
      <c r="F771" s="13" t="inlineStr">
        <is>
          <t>The client asks the API for a pre-signed upload URL (a SAS token in Azure) and uploads the file straight to blob storage, which keeps large payloads off the app servers. A storage event triggers processing workers that resize, compress and create thumbnails. The post metadata (post ID, user ID, media URLs, caption, time) is saved, and a post-created event starts the feed fan-out; media is served through the CDN.</t>
        </is>
      </c>
      <c r="G771" s="13" t="inlineStr"/>
    </row>
    <row r="772">
      <c r="A772" s="13" t="n">
        <v>65</v>
      </c>
      <c r="B772" s="24" t="n">
        <v>46357</v>
      </c>
      <c r="C772" s="13" t="inlineStr">
        <is>
          <t>HLD</t>
        </is>
      </c>
      <c r="D772" s="16" t="inlineStr">
        <is>
          <t>Intermediate</t>
        </is>
      </c>
      <c r="E772" s="13" t="inlineStr">
        <is>
          <t>Fan-out on write vs fan-out on read: what are the trade-offs?</t>
        </is>
      </c>
      <c r="F772" s="13" t="inlineStr">
        <is>
          <t>Fan-out on write (push) inserts the new post ID into every follower's precomputed feed, so reads are fast but writes are expensive for users with many followers. Fan-out on read (pull) merges posts from everyone the user follows at read time, so writes are cheap but reads are slower and heavier. Most real systems use a hybrid.</t>
        </is>
      </c>
      <c r="G772" s="13" t="inlineStr"/>
    </row>
    <row r="773">
      <c r="A773" s="13" t="n">
        <v>65</v>
      </c>
      <c r="B773" s="24" t="n">
        <v>46357</v>
      </c>
      <c r="C773" s="13" t="inlineStr">
        <is>
          <t>HLD</t>
        </is>
      </c>
      <c r="D773" s="16" t="inlineStr">
        <is>
          <t>Intermediate</t>
        </is>
      </c>
      <c r="E773" s="13" t="inlineStr">
        <is>
          <t>What data model and storage would you choose?</t>
        </is>
      </c>
      <c r="F773" s="13" t="inlineStr">
        <is>
          <t>Users and Posts (post_id, user_id, media_url, caption, created_at) sharded by user_id
- Follows stored in both directions (follower to followee and followee to follower) for fast lookups
- A per-user feed in Redis as a capped list of about 500 post IDs
- Time-sortable post IDs (Snowflake-style) for cursor-based pagination
- Like and comment counts as separate counters updated asynchronously</t>
        </is>
      </c>
      <c r="G773" s="13" t="inlineStr"/>
    </row>
    <row r="774">
      <c r="A774" s="13" t="n">
        <v>65</v>
      </c>
      <c r="B774" s="24" t="n">
        <v>46357</v>
      </c>
      <c r="C774" s="13" t="inlineStr">
        <is>
          <t>HLD</t>
        </is>
      </c>
      <c r="D774" s="17" t="inlineStr">
        <is>
          <t>Advanced</t>
        </is>
      </c>
      <c r="E774" s="13" t="inlineStr">
        <is>
          <t>How do you solve the celebrity problem?</t>
        </is>
      </c>
      <c r="F774" s="13" t="inlineStr">
        <is>
          <t>Do not fan out posts from accounts above a follower threshold (for example 10k+), because one post would mean millions of cache writes. Normal users get pushed posts; at read time the feed service pulls recent posts from the celebrities the user follows and merges them in. You can also skip pushing to inactive users and build their feed on demand when they return.</t>
        </is>
      </c>
      <c r="G774" s="13" t="inlineStr"/>
    </row>
    <row r="775">
      <c r="A775" s="13" t="n">
        <v>65</v>
      </c>
      <c r="B775" s="24" t="n">
        <v>46357</v>
      </c>
      <c r="C775" s="13" t="inlineStr">
        <is>
          <t>HLD</t>
        </is>
      </c>
      <c r="D775" s="17" t="inlineStr">
        <is>
          <t>Advanced</t>
        </is>
      </c>
      <c r="E775" s="13" t="inlineStr">
        <is>
          <t>How do feed ranking and pagination work at scale?</t>
        </is>
      </c>
      <c r="F775" s="13" t="inlineStr">
        <is>
          <t>Candidate generation takes recent post IDs from the feed cache and celebrity pulls, a ranking service scores them on features such as affinity, recency and engagement (increasingly with ML models), and the top results are hydrated with post data and media URLs. Pagination uses a cursor (last post ID or score) rather than OFFSET, which stays stable as new posts arrive. Feeds for active users can be precomputed ahead of time.</t>
        </is>
      </c>
      <c r="G775" s="13" t="inlineStr"/>
    </row>
    <row r="776">
      <c r="A776" s="13" t="n">
        <v>65</v>
      </c>
      <c r="B776" s="24" t="n">
        <v>46357</v>
      </c>
      <c r="C776" s="13" t="inlineStr">
        <is>
          <t>LLD</t>
        </is>
      </c>
      <c r="D776" s="18" t="inlineStr">
        <is>
          <t>Basic</t>
        </is>
      </c>
      <c r="E776" s="13" t="inlineStr">
        <is>
          <t>Which classes would you design for posts, followers and feeds?</t>
        </is>
      </c>
      <c r="F776" s="13" t="inlineStr">
        <is>
          <t>User, Post, Comment, Like, a FollowGraph or FollowService, a PostService, a FeedService with an IFeedGenerator strategy, and a NotificationService. Keep IDs rather than object references between aggregates (a Post holds AuthorId, not a User object), which keeps the model decoupled and easy to persist.</t>
        </is>
      </c>
      <c r="G776" s="13" t="inlineStr"/>
    </row>
    <row r="777">
      <c r="A777" s="13" t="n">
        <v>65</v>
      </c>
      <c r="B777" s="24" t="n">
        <v>46357</v>
      </c>
      <c r="C777" s="13" t="inlineStr">
        <is>
          <t>LLD</t>
        </is>
      </c>
      <c r="D777" s="18" t="inlineStr">
        <is>
          <t>Basic</t>
        </is>
      </c>
      <c r="E777" s="13" t="inlineStr">
        <is>
          <t>How do you model the follow relationship?</t>
        </is>
      </c>
      <c r="F777" s="13" t="inlineStr">
        <is>
          <t>Use a FollowGraph with Dictionary&lt;int, HashSet&lt;int&gt;&gt; for following and another for followers, so Follow, Unfollow and IsFollowing are O(1). Follow must update both directions and reject self-follows and duplicates (HashSet.Add returns false). Exposing IReadOnlySet&lt;int&gt; stops callers from changing the sets directly.</t>
        </is>
      </c>
      <c r="G777" s="13" t="inlineStr"/>
    </row>
    <row r="778">
      <c r="A778" s="13" t="n">
        <v>65</v>
      </c>
      <c r="B778" s="24" t="n">
        <v>46357</v>
      </c>
      <c r="C778" s="13" t="inlineStr">
        <is>
          <t>LLD</t>
        </is>
      </c>
      <c r="D778" s="16" t="inlineStr">
        <is>
          <t>Intermediate</t>
        </is>
      </c>
      <c r="E778" s="13" t="inlineStr">
        <is>
          <t>Implement GetNewsFeed(userId) returning the 10 most recent posts from the user and the people they follow.</t>
        </is>
      </c>
      <c r="F778" s="13" t="inlineStr">
        <is>
          <t>Each user's posts are already in time order, so merge K sorted lists with a max-heap (the LeetCode Design Twitter problem).
```csharp
public IList&lt;Post&gt; GetNewsFeed(int userId, int limit = 10) {
    var pq = new PriorityQueue&lt;(List&lt;Post&gt; list, int idx), long&gt;();
    foreach (var uid in _follows.Following(userId).Append(userId))
        if (_posts.TryGetValue(uid, out var l) &amp;&amp; l.Count &gt; 0)
            pq.Enqueue((l, l.Count - 1), -l[^1].Timestamp);
    var feed = new List&lt;Post&gt;();
    while (feed.Count &lt; limit &amp;&amp; pq.TryDequeue(out var cur, out _)) {
        feed.Add(cur.list[cur.idx]);
        if (cur.idx &gt; 0) pq.Enqueue((cur.list, cur.idx - 1), -cur.list[cur.idx - 1].Timestamp);
    }
    return feed;
}
```</t>
        </is>
      </c>
      <c r="G778" s="13" t="inlineStr"/>
    </row>
    <row r="779">
      <c r="A779" s="13" t="n">
        <v>65</v>
      </c>
      <c r="B779" s="24" t="n">
        <v>46357</v>
      </c>
      <c r="C779" s="13" t="inlineStr">
        <is>
          <t>LLD</t>
        </is>
      </c>
      <c r="D779" s="16" t="inlineStr">
        <is>
          <t>Intermediate</t>
        </is>
      </c>
      <c r="E779" s="13" t="inlineStr">
        <is>
          <t>Where does the Observer pattern fit in this design?</t>
        </is>
      </c>
      <c r="F779" s="13" t="inlineStr">
        <is>
          <t>When a post is created, PostService raises a PostCreated event and FeedService (fan-out), NotificationService and analytics subscribe to it. PostService does not need to know about any of them, and new subscribers can be added without changing it. In .NET this can be C# events, MediatR notifications, or a message bus once the system is distributed.</t>
        </is>
      </c>
      <c r="G779" s="13" t="inlineStr"/>
    </row>
    <row r="780">
      <c r="A780" s="13" t="n">
        <v>65</v>
      </c>
      <c r="B780" s="24" t="n">
        <v>46357</v>
      </c>
      <c r="C780" s="13" t="inlineStr">
        <is>
          <t>LLD</t>
        </is>
      </c>
      <c r="D780" s="17" t="inlineStr">
        <is>
          <t>Advanced</t>
        </is>
      </c>
      <c r="E780" s="13" t="inlineStr">
        <is>
          <t>How do you use Strategy for feed generation and fan-out?</t>
        </is>
      </c>
      <c r="F780" s="13" t="inlineStr">
        <is>
          <t>Define IFeedGenerator with ChronologicalFeed and RankedFeed implementations, and IFanoutStrategy with Push, Pull and Hybrid implementations. The hybrid strategy picks push or pull per author based on follower count. Register them through DI so the policy can be changed by configuration or A/B test without touching the services.</t>
        </is>
      </c>
      <c r="G780" s="13" t="inlineStr"/>
    </row>
    <row r="781">
      <c r="A781" s="13" t="n">
        <v>65</v>
      </c>
      <c r="B781" s="24" t="n">
        <v>46357</v>
      </c>
      <c r="C781" s="13" t="inlineStr">
        <is>
          <t>LLD</t>
        </is>
      </c>
      <c r="D781" s="17" t="inlineStr">
        <is>
          <t>Advanced</t>
        </is>
      </c>
      <c r="E781" s="13" t="inlineStr">
        <is>
          <t>How do you handle concurrency and immutability in these classes?</t>
        </is>
      </c>
      <c r="F781" s="13" t="inlineStr">
        <is>
          <t>Make Post an immutable record except for its counters. Update like counts with Interlocked.Increment, and enforce one like per user with a ConcurrentDictionary or HashSet under a lock keyed by post. Return IReadOnlyList or IReadOnlyCollection instead of mutable lists, and keep feed updates thread-safe with per-user locks or concurrent collections so a busy author does not block everyone.</t>
        </is>
      </c>
      <c r="G781" s="13" t="inlineStr"/>
    </row>
    <row r="782">
      <c r="A782" s="13" t="n">
        <v>66</v>
      </c>
      <c r="B782" s="24" t="n">
        <v>46358</v>
      </c>
      <c r="C782" s="13" t="inlineStr">
        <is>
          <t>HLD</t>
        </is>
      </c>
      <c r="D782" s="18" t="inlineStr">
        <is>
          <t>Basic</t>
        </is>
      </c>
      <c r="E782" s="13" t="inlineStr">
        <is>
          <t>How do WhatsApp clients send and receive messages in real time?</t>
        </is>
      </c>
      <c r="F782" s="13" t="inlineStr">
        <is>
          <t>Each online client keeps a persistent connection (a WebSocket or a custom protocol over TCP) to a chat gateway server, with heartbeats to detect dead connections. The server pushes messages down that connection instead of the client polling. A connection registry (for example Redis mapping userId to gateway server) lets any server find where a recipient is connected.</t>
        </is>
      </c>
      <c r="G782" s="13" t="inlineStr"/>
    </row>
    <row r="783">
      <c r="A783" s="13" t="n">
        <v>66</v>
      </c>
      <c r="B783" s="24" t="n">
        <v>46358</v>
      </c>
      <c r="C783" s="13" t="inlineStr">
        <is>
          <t>HLD</t>
        </is>
      </c>
      <c r="D783" s="18" t="inlineStr">
        <is>
          <t>Basic</t>
        </is>
      </c>
      <c r="E783" s="13" t="inlineStr">
        <is>
          <t>Describe the flow of a 1:1 message and the three ticks.</t>
        </is>
      </c>
      <c r="F783" s="13" t="inlineStr">
        <is>
          <t>The sender's server stores the message durably and acks the sender, which shows a single tick (sent). It looks up the recipient's gateway and pushes the message; when the recipient's device acks, a delivered receipt goes back to the sender (double tick). When the recipient opens the chat, a read receipt is sent (blue ticks). Receipts are just small messages that travel the same path.</t>
        </is>
      </c>
      <c r="G783" s="13" t="inlineStr"/>
    </row>
    <row r="784">
      <c r="A784" s="13" t="n">
        <v>66</v>
      </c>
      <c r="B784" s="24" t="n">
        <v>46358</v>
      </c>
      <c r="C784" s="13" t="inlineStr">
        <is>
          <t>HLD</t>
        </is>
      </c>
      <c r="D784" s="16" t="inlineStr">
        <is>
          <t>Intermediate</t>
        </is>
      </c>
      <c r="E784" s="13" t="inlineStr">
        <is>
          <t>How does offline delivery work?</t>
        </is>
      </c>
      <c r="F784" s="13" t="inlineStr">
        <is>
          <t>If the recipient is not connected, the message goes into a per-user inbox (for example a wide-column store such as Cassandra, keyed by user ID and ordered by message ID) and a push notification is sent via APNs or FCM. When the device reconnects it fetches everything after its last acknowledged message ID. Messages are removed from the server once they are delivered, because the server is a relay rather than long-term storage.</t>
        </is>
      </c>
      <c r="G784" s="13" t="inlineStr"/>
    </row>
    <row r="785">
      <c r="A785" s="13" t="n">
        <v>66</v>
      </c>
      <c r="B785" s="24" t="n">
        <v>46358</v>
      </c>
      <c r="C785" s="13" t="inlineStr">
        <is>
          <t>HLD</t>
        </is>
      </c>
      <c r="D785" s="16" t="inlineStr">
        <is>
          <t>Intermediate</t>
        </is>
      </c>
      <c r="E785" s="13" t="inlineStr">
        <is>
          <t>How do you guarantee ordering and avoid duplicate messages?</t>
        </is>
      </c>
      <c r="F785" s="13" t="inlineStr">
        <is>
          <t>The client generates a unique message ID, so retries after a timeout are idempotent and the server dedupes by that ID. Each conversation gets a monotonically increasing sequence number (or a time-sortable ID) assigned by the server, and clients order messages by it. Delivery is at-least-once with acks at every hop, and dedupe plus sequencing make it look exactly-once to users.</t>
        </is>
      </c>
      <c r="G785" s="13" t="inlineStr"/>
    </row>
    <row r="786">
      <c r="A786" s="13" t="n">
        <v>66</v>
      </c>
      <c r="B786" s="24" t="n">
        <v>46358</v>
      </c>
      <c r="C786" s="13" t="inlineStr">
        <is>
          <t>HLD</t>
        </is>
      </c>
      <c r="D786" s="17" t="inlineStr">
        <is>
          <t>Advanced</t>
        </is>
      </c>
      <c r="E786" s="13" t="inlineStr">
        <is>
          <t>How do you scale to about 500M concurrent connections?</t>
        </is>
      </c>
      <c r="F786" s="13" t="inlineStr">
        <is>
          <t>One tuned gateway server can hold roughly 100k-1M idle connections (WhatsApp famously used Erlang), so you need on the order of 1,000+ gateway servers behind L4 load balancers. Gateways stay stateless apart from their live sockets, and routing uses the connection registry. Message storage is partitioned by user or conversation, and group messages are fanned out per member by a group service.</t>
        </is>
      </c>
      <c r="G786" s="13" t="inlineStr"/>
    </row>
    <row r="787">
      <c r="A787" s="13" t="n">
        <v>66</v>
      </c>
      <c r="B787" s="24" t="n">
        <v>46358</v>
      </c>
      <c r="C787" s="13" t="inlineStr">
        <is>
          <t>HLD</t>
        </is>
      </c>
      <c r="D787" s="17" t="inlineStr">
        <is>
          <t>Advanced</t>
        </is>
      </c>
      <c r="E787" s="13" t="inlineStr">
        <is>
          <t>Explain end-to-end encryption at an idea level.</t>
        </is>
      </c>
      <c r="F787" s="13" t="inlineStr">
        <is>
          <t>WhatsApp uses the Signal protocol: every device has an identity key pair and uploads public prekeys to the server. The sender fetches the recipient's prekeys and sets up a shared session key (X3DH key agreement), then the Double Ratchet derives a new key for every message, which gives forward secrecy. The server only routes ciphertext and cannot read it, so server-side search or moderation of content is not possible and multi-device support needs a session per device.</t>
        </is>
      </c>
      <c r="G787" s="13" t="inlineStr"/>
    </row>
    <row r="788">
      <c r="A788" s="13" t="n">
        <v>66</v>
      </c>
      <c r="B788" s="24" t="n">
        <v>46358</v>
      </c>
      <c r="C788" s="13" t="inlineStr">
        <is>
          <t>LLD</t>
        </is>
      </c>
      <c r="D788" s="18" t="inlineStr">
        <is>
          <t>Basic</t>
        </is>
      </c>
      <c r="E788" s="13" t="inlineStr">
        <is>
          <t>Which states and transitions does a chat message go through?</t>
        </is>
      </c>
      <c r="F788" s="13" t="inlineStr">
        <is>
          <t>Pending (created on the device), then Sent (server acked), then Delivered (recipient device acked), then Read. Failed is reachable from Pending when sending times out and can go back to Pending on retry. Transitions only move forward; a message can never go from Read back to Delivered.</t>
        </is>
      </c>
      <c r="G788" s="13" t="inlineStr"/>
    </row>
    <row r="789">
      <c r="A789" s="13" t="n">
        <v>66</v>
      </c>
      <c r="B789" s="24" t="n">
        <v>46358</v>
      </c>
      <c r="C789" s="13" t="inlineStr">
        <is>
          <t>LLD</t>
        </is>
      </c>
      <c r="D789" s="18" t="inlineStr">
        <is>
          <t>Basic</t>
        </is>
      </c>
      <c r="E789" s="13" t="inlineStr">
        <is>
          <t>Why use the State pattern here rather than an enum with if checks?</t>
        </is>
      </c>
      <c r="F789" s="13" t="inlineStr">
        <is>
          <t>Each state class defines which events it accepts, so invalid transitions are rejected in one place instead of in if-checks scattered across the codebase, and new states such as Deleted or Edited can be added without editing big switch statements. For a very small fixed state set, an enum plus a transition table is also acceptable; mention that trade-off in the interview.</t>
        </is>
      </c>
      <c r="G789" s="13" t="inlineStr"/>
    </row>
    <row r="790">
      <c r="A790" s="13" t="n">
        <v>66</v>
      </c>
      <c r="B790" s="24" t="n">
        <v>46358</v>
      </c>
      <c r="C790" s="13" t="inlineStr">
        <is>
          <t>LLD</t>
        </is>
      </c>
      <c r="D790" s="16" t="inlineStr">
        <is>
          <t>Intermediate</t>
        </is>
      </c>
      <c r="E790" s="13" t="inlineStr">
        <is>
          <t>Implement the message states with the State pattern.</t>
        </is>
      </c>
      <c r="F790" s="13" t="inlineStr">
        <is>
          <t>Every state returns the next state; events that are not allowed throw by default.
```csharp
abstract class MessageState {
    public virtual MessageState OnServerAck() =&gt; throw new InvalidOperationException();
    public virtual MessageState OnDelivered() =&gt; throw new InvalidOperationException();
    public virtual MessageState OnRead() =&gt; throw new InvalidOperationException();
}
class Pending : MessageState { public override MessageState OnServerAck() =&gt; new Sent(); }
class Sent : MessageState {
    public override MessageState OnDelivered() =&gt; new Delivered();
    public override MessageState OnRead() =&gt; new Read();
}
class Delivered : MessageState { public override MessageState OnRead() =&gt; new Read(); }
class Read : MessageState { }
```</t>
        </is>
      </c>
      <c r="G790" s="13" t="inlineStr"/>
    </row>
    <row r="791">
      <c r="A791" s="13" t="n">
        <v>66</v>
      </c>
      <c r="B791" s="24" t="n">
        <v>46358</v>
      </c>
      <c r="C791" s="13" t="inlineStr">
        <is>
          <t>LLD</t>
        </is>
      </c>
      <c r="D791" s="16" t="inlineStr">
        <is>
          <t>Intermediate</t>
        </is>
      </c>
      <c r="E791" s="13" t="inlineStr">
        <is>
          <t>A read receipt arrives before the delivered receipt, or a receipt arrives twice. How do you handle it?</t>
        </is>
      </c>
      <c r="F791" s="13" t="inlineStr">
        <is>
          <t>Networks reorder and duplicate acks, so transitions should be monotonic and idempotent rather than throwing. Give each state an ordinal (Pending 0, Sent 1, Delivered 2, Read 3), apply an event only if it moves the ordinal forward, and ignore it otherwise. That allows skipping from Sent straight to Read, and a duplicate Delivered after Read becomes a no-op.</t>
        </is>
      </c>
      <c r="G791" s="13" t="inlineStr"/>
    </row>
    <row r="792">
      <c r="A792" s="13" t="n">
        <v>66</v>
      </c>
      <c r="B792" s="24" t="n">
        <v>46358</v>
      </c>
      <c r="C792" s="13" t="inlineStr">
        <is>
          <t>LLD</t>
        </is>
      </c>
      <c r="D792" s="17" t="inlineStr">
        <is>
          <t>Advanced</t>
        </is>
      </c>
      <c r="E792" s="13" t="inlineStr">
        <is>
          <t>How do you model delivery state for group messages?</t>
        </is>
      </c>
      <c r="F792" s="13" t="inlineStr">
        <is>
          <t>The Message keeps a per-recipient state, for example Dictionary&lt;userId, MessageState&gt;. The sender's aggregate tick is the minimum across recipients: double tick only when every member has the message, blue only when everyone has read it. When a recipient's state changes, recompute the aggregate and notify the sender's UI through an Observer only if the aggregate actually changed.</t>
        </is>
      </c>
      <c r="G792" s="13" t="inlineStr"/>
    </row>
    <row r="793">
      <c r="A793" s="13" t="n">
        <v>66</v>
      </c>
      <c r="B793" s="24" t="n">
        <v>46358</v>
      </c>
      <c r="C793" s="13" t="inlineStr">
        <is>
          <t>LLD</t>
        </is>
      </c>
      <c r="D793" s="17" t="inlineStr">
        <is>
          <t>Advanced</t>
        </is>
      </c>
      <c r="E793" s="13" t="inlineStr">
        <is>
          <t>How do you keep state transitions thread-safe and persist them?</t>
        </is>
      </c>
      <c r="F793" s="13" t="inlineStr">
        <is>
          <t>Acks can arrive on different threads, so update the state reference with Interlocked.CompareExchange in a retry loop, or lock per message. State classes carry no data, so they can be shared singletons (flyweights) instead of being allocated on every transition. In the database store the state as a status column and use a conditional update (SET status = @new WHERE id = @id AND status &lt; @new) so the stored state can only move forward.</t>
        </is>
      </c>
      <c r="G793" s="13" t="inlineStr"/>
    </row>
    <row r="794">
      <c r="A794" s="13" t="n">
        <v>67</v>
      </c>
      <c r="B794" s="24" t="n">
        <v>46359</v>
      </c>
      <c r="C794" s="13" t="inlineStr">
        <is>
          <t>HLD</t>
        </is>
      </c>
      <c r="D794" s="18" t="inlineStr">
        <is>
          <t>Basic</t>
        </is>
      </c>
      <c r="E794" s="13" t="inlineStr">
        <is>
          <t>Describe YouTube's high-level flow from upload to playback.</t>
        </is>
      </c>
      <c r="F794" s="13" t="inlineStr">
        <is>
          <t>The client uploads in resumable chunks straight to blob storage using a pre-signed URL. An upload-complete event puts a job on a queue, and transcoding workers produce multiple resolutions and codecs split into segments. The segments and manifests are stored and served through a CDN, and the metadata DB (title, owner, status, renditions) is updated so the video becomes watchable.</t>
        </is>
      </c>
      <c r="G794" s="13" t="inlineStr"/>
    </row>
    <row r="795">
      <c r="A795" s="13" t="n">
        <v>67</v>
      </c>
      <c r="B795" s="24" t="n">
        <v>46359</v>
      </c>
      <c r="C795" s="13" t="inlineStr">
        <is>
          <t>HLD</t>
        </is>
      </c>
      <c r="D795" s="18" t="inlineStr">
        <is>
          <t>Basic</t>
        </is>
      </c>
      <c r="E795" s="13" t="inlineStr">
        <is>
          <t>Why transcode a video into many resolutions and formats?</t>
        </is>
      </c>
      <c r="F795" s="13" t="inlineStr">
        <is>
          <t>Devices support different codecs and containers (H.264, VP9, AV1) and screen sizes, and users have very different bandwidth. Several renditions (240p to 4K) make adaptive streaming possible, and re-encoding also compresses the raw upload, which saves storage and CDN cost. The same pipeline produces thumbnails and previews.</t>
        </is>
      </c>
      <c r="G795" s="13" t="inlineStr"/>
    </row>
    <row r="796">
      <c r="A796" s="13" t="n">
        <v>67</v>
      </c>
      <c r="B796" s="24" t="n">
        <v>46359</v>
      </c>
      <c r="C796" s="13" t="inlineStr">
        <is>
          <t>HLD</t>
        </is>
      </c>
      <c r="D796" s="16" t="inlineStr">
        <is>
          <t>Intermediate</t>
        </is>
      </c>
      <c r="E796" s="13" t="inlineStr">
        <is>
          <t>How does adaptive bitrate streaming work?</t>
        </is>
      </c>
      <c r="F796" s="13" t="inlineStr">
        <is>
          <t>Each rendition is cut into short segments of 2-10 seconds, and a manifest (an HLS .m3u8 or a DASH .mpd file) lists the renditions and their segment URLs. The player measures throughput and buffer level and picks the rendition for each next segment, dropping quality when the network slows and raising it when bandwidth recovers. Everything is plain HTTP, so CDNs cache the segments like any other file.</t>
        </is>
      </c>
      <c r="G796" s="13" t="inlineStr"/>
    </row>
    <row r="797">
      <c r="A797" s="13" t="n">
        <v>67</v>
      </c>
      <c r="B797" s="24" t="n">
        <v>46359</v>
      </c>
      <c r="C797" s="13" t="inlineStr">
        <is>
          <t>HLD</t>
        </is>
      </c>
      <c r="D797" s="16" t="inlineStr">
        <is>
          <t>Intermediate</t>
        </is>
      </c>
      <c r="E797" s="13" t="inlineStr">
        <is>
          <t>How do you make transcoding fast for a long video?</t>
        </is>
      </c>
      <c r="F797" s="13" t="inlineStr">
        <is>
          <t>Split the source into chunks aligned to GOP (keyframe) boundaries and model the work as a DAG: split, then encode each chunk for each resolution in parallel, then merge and package. Workers pull tasks from a queue, and each task is idempotent (output path keyed by video, chunk and rendition), so retries are safe. Job and task status live in a DB, and the worker pool autoscales on queue depth.</t>
        </is>
      </c>
      <c r="G797" s="13" t="inlineStr"/>
    </row>
    <row r="798">
      <c r="A798" s="13" t="n">
        <v>67</v>
      </c>
      <c r="B798" s="24" t="n">
        <v>46359</v>
      </c>
      <c r="C798" s="13" t="inlineStr">
        <is>
          <t>HLD</t>
        </is>
      </c>
      <c r="D798" s="17" t="inlineStr">
        <is>
          <t>Advanced</t>
        </is>
      </c>
      <c r="E798" s="13" t="inlineStr">
        <is>
          <t>How do you count views at YouTube scale?</t>
        </is>
      </c>
      <c r="F798" s="13" t="inlineStr">
        <is>
          <t>Do not run UPDATE views = views + 1 per view, because it creates hot rows. Send view events to a stream (Kafka or Event Hubs), filter bots and duplicates, aggregate per video over short windows in a stream processor, and apply batched increments to a counter store or sharded counters in Redis. Displayed counts are eventually consistent, which is acceptable.</t>
        </is>
      </c>
      <c r="G798" s="13" t="inlineStr"/>
    </row>
    <row r="799">
      <c r="A799" s="13" t="n">
        <v>67</v>
      </c>
      <c r="B799" s="24" t="n">
        <v>46359</v>
      </c>
      <c r="C799" s="13" t="inlineStr">
        <is>
          <t>HLD</t>
        </is>
      </c>
      <c r="D799" s="17" t="inlineStr">
        <is>
          <t>Advanced</t>
        </is>
      </c>
      <c r="E799" s="13" t="inlineStr">
        <is>
          <t>How do you keep CDN and storage costs under control?</t>
        </is>
      </c>
      <c r="F799" s="13" t="inlineStr">
        <is>
          <t>Push popular videos to CDN edges and serve the long tail from origin or regional caches
- Move old, rarely watched videos to cool or archive storage tiers
- Transcode lazily: create extra renditions or better codecs only for videos that become popular
- Place caches inside ISP networks (like Netflix Open Connect)
- Recommendations, at idea level: candidate generation from watch history, then a ranking model</t>
        </is>
      </c>
      <c r="G799" s="13" t="inlineStr"/>
    </row>
    <row r="800">
      <c r="A800" s="13" t="n">
        <v>67</v>
      </c>
      <c r="B800" s="24" t="n">
        <v>46359</v>
      </c>
      <c r="C800" s="13" t="inlineStr">
        <is>
          <t>LLD</t>
        </is>
      </c>
      <c r="D800" s="18" t="inlineStr">
        <is>
          <t>Basic</t>
        </is>
      </c>
      <c r="E800" s="13" t="inlineStr">
        <is>
          <t>What is the Chain of Responsibility pattern?</t>
        </is>
      </c>
      <c r="F800" s="13" t="inlineStr">
        <is>
          <t>A request is passed along a chain of handlers; each handler either processes it, passes it on, or stops the chain. The sender does not know which handlers exist or in which order. Familiar examples are ASP.NET Core middleware, approval workflows and logging-level handlers.</t>
        </is>
      </c>
      <c r="G800" s="13" t="inlineStr"/>
    </row>
    <row r="801">
      <c r="A801" s="13" t="n">
        <v>67</v>
      </c>
      <c r="B801" s="24" t="n">
        <v>46359</v>
      </c>
      <c r="C801" s="13" t="inlineStr">
        <is>
          <t>LLD</t>
        </is>
      </c>
      <c r="D801" s="18" t="inlineStr">
        <is>
          <t>Basic</t>
        </is>
      </c>
      <c r="E801" s="13" t="inlineStr">
        <is>
          <t>Why does Chain of Responsibility suit a video transcoding pipeline?</t>
        </is>
      </c>
      <c r="F801" s="13" t="inlineStr">
        <is>
          <t>The pipeline is a sequence of independent steps: Validate, then ExtractMetadata, Transcode, GenerateThumbnails, Package and Publish. Each step is its own class that can be unit-tested, reordered or reused, and a new step such as Watermark or ContentModeration is added by inserting a handler without changing the others. A step can also stop the chain, for example validation rejecting a corrupt file.</t>
        </is>
      </c>
      <c r="G801" s="13" t="inlineStr"/>
    </row>
    <row r="802">
      <c r="A802" s="13" t="n">
        <v>67</v>
      </c>
      <c r="B802" s="24" t="n">
        <v>46359</v>
      </c>
      <c r="C802" s="13" t="inlineStr">
        <is>
          <t>LLD</t>
        </is>
      </c>
      <c r="D802" s="16" t="inlineStr">
        <is>
          <t>Intermediate</t>
        </is>
      </c>
      <c r="E802" s="13" t="inlineStr">
        <is>
          <t>Implement the base handler and one concrete step.</t>
        </is>
      </c>
      <c r="F802" s="13" t="inlineStr">
        <is>
          <t>SetNext returns the next handler so a chain can be built fluently: validate.SetNext(meta).SetNext(transcode).
```csharp
abstract class VideoHandler {
    private VideoHandler? _next;
    public VideoHandler SetNext(VideoHandler next) { _next = next; return next; }
    public virtual Task HandleAsync(VideoJob job) =&gt; _next?.HandleAsync(job) ?? Task.CompletedTask;
}
class ValidateHandler : VideoHandler {
    public override Task HandleAsync(VideoJob job) {
        if (job.SizeBytes &gt; 10L * 1024 * 1024 * 1024) throw new InvalidOperationException("File too large");
        return base.HandleAsync(job);
    }
}
```</t>
        </is>
      </c>
      <c r="G802" s="13" t="inlineStr"/>
    </row>
    <row r="803">
      <c r="A803" s="13" t="n">
        <v>67</v>
      </c>
      <c r="B803" s="24" t="n">
        <v>46359</v>
      </c>
      <c r="C803" s="13" t="inlineStr">
        <is>
          <t>LLD</t>
        </is>
      </c>
      <c r="D803" s="16" t="inlineStr">
        <is>
          <t>Intermediate</t>
        </is>
      </c>
      <c r="E803" s="13" t="inlineStr">
        <is>
          <t>Chain of Responsibility vs Decorator vs ASP.NET Core middleware: how do they differ?</t>
        </is>
      </c>
      <c r="F803" s="13" t="inlineStr">
        <is>
          <t>A Decorator always delegates to the wrapped object and adds behaviour around it; it is not meant to stop the call. A Chain of Responsibility handler may handle the request and stop, or pass it on. ASP.NET Core middleware is a hybrid: every component can run code before and after calling next(), and it can short-circuit by not calling next().</t>
        </is>
      </c>
      <c r="G803" s="13" t="inlineStr"/>
    </row>
    <row r="804">
      <c r="A804" s="13" t="n">
        <v>67</v>
      </c>
      <c r="B804" s="24" t="n">
        <v>46359</v>
      </c>
      <c r="C804" s="13" t="inlineStr">
        <is>
          <t>LLD</t>
        </is>
      </c>
      <c r="D804" s="17" t="inlineStr">
        <is>
          <t>Advanced</t>
        </is>
      </c>
      <c r="E804" s="13" t="inlineStr">
        <is>
          <t>How do you handle a failure in the middle of the chain?</t>
        </is>
      </c>
      <c r="F804" s="13" t="inlineStr">
        <is>
          <t>Make each step idempotent, keyed by jobId plus step name, and save a checkpoint after each step so a retry resumes from the last completed step instead of re-transcoding everything. Retry transient failures with exponential backoff (for example with Polly) and send permanent failures to a dead-letter queue with the failed step recorded. Clean up partial outputs as a compensating action.</t>
        </is>
      </c>
      <c r="G804" s="13" t="inlineStr"/>
    </row>
    <row r="805">
      <c r="A805" s="13" t="n">
        <v>67</v>
      </c>
      <c r="B805" s="24" t="n">
        <v>46359</v>
      </c>
      <c r="C805" s="13" t="inlineStr">
        <is>
          <t>LLD</t>
        </is>
      </c>
      <c r="D805" s="17" t="inlineStr">
        <is>
          <t>Advanced</t>
        </is>
      </c>
      <c r="E805" s="13" t="inlineStr">
        <is>
          <t>The pipeline needs to encode five resolutions in parallel. How do you extend the design?</t>
        </is>
      </c>
      <c r="F805" s="13" t="inlineStr">
        <is>
          <t>A plain chain is linear, so add a composite handler, a FanOutHandler, that runs several sub-handlers or sub-chains with Task.WhenAll and continues the main chain when they all finish. Build the chain from configuration with a builder registered in DI. If the flow keeps growing into a real DAG with waits and retries, move to an orchestrator such as Durable Functions (fan-out/fan-in).</t>
        </is>
      </c>
      <c r="G805" s="13" t="inlineStr"/>
    </row>
    <row r="806">
      <c r="A806" s="13" t="n">
        <v>68</v>
      </c>
      <c r="B806" s="24" t="n">
        <v>46360</v>
      </c>
      <c r="C806" s="13" t="inlineStr">
        <is>
          <t>HLD</t>
        </is>
      </c>
      <c r="D806" s="18" t="inlineStr">
        <is>
          <t>Basic</t>
        </is>
      </c>
      <c r="E806" s="13" t="inlineStr">
        <is>
          <t>What are the steps of your HLD answer template and the time budget for a 45-minute round?</t>
        </is>
      </c>
      <c r="F806" s="13" t="inlineStr">
        <is>
          <t>Clarify requirements and scope: about 5 min
- Estimates: 3-5 min
- API: about 5 min
- Data model and store choice: about 5 min
- High-level diagram and request flow: about 10 min
- Deep dives on 1-2 components, bottlenecks and trade-offs: 10-15 min
- Wrap-up: about 2 min</t>
        </is>
      </c>
      <c r="G806" s="13" t="inlineStr"/>
    </row>
    <row r="807">
      <c r="A807" s="13" t="n">
        <v>68</v>
      </c>
      <c r="B807" s="24" t="n">
        <v>46360</v>
      </c>
      <c r="C807" s="13" t="inlineStr">
        <is>
          <t>HLD</t>
        </is>
      </c>
      <c r="D807" s="18" t="inlineStr">
        <is>
          <t>Basic</t>
        </is>
      </c>
      <c r="E807" s="13" t="inlineStr">
        <is>
          <t>What is the difference between functional and non-functional requirements? Give examples.</t>
        </is>
      </c>
      <c r="F807" s="13" t="inlineStr">
        <is>
          <t>Functional requirements are what the system does: post a photo, send a message, shorten a URL. Non-functional requirements are how well it does it: scale (DAU, QPS), latency targets (p99 under 200 ms), availability (99.9% or 99.99%), consistency, durability and security. Ask about both out loud, write them down, and confirm what is out of scope before designing.</t>
        </is>
      </c>
      <c r="G807" s="13" t="inlineStr"/>
    </row>
    <row r="808">
      <c r="A808" s="13" t="n">
        <v>68</v>
      </c>
      <c r="B808" s="24" t="n">
        <v>46360</v>
      </c>
      <c r="C808" s="13" t="inlineStr">
        <is>
          <t>HLD</t>
        </is>
      </c>
      <c r="D808" s="16" t="inlineStr">
        <is>
          <t>Intermediate</t>
        </is>
      </c>
      <c r="E808" s="13" t="inlineStr">
        <is>
          <t>Which bottlenecks should your checklist always cover?</t>
        </is>
      </c>
      <c r="F808" s="13" t="inlineStr">
        <is>
          <t>Single points of failure (one DB primary, one load balancer)
- Hot keys and hot partitions
- Cache stampede and thundering herd after a cache expires
- Expensive fan-out
- Slow third-party calls without timeouts or circuit breakers
- Queue backlogs and consumer lag
- Consistency gaps between services
- Missing monitoring and alerts</t>
        </is>
      </c>
      <c r="G808" s="13" t="inlineStr"/>
    </row>
    <row r="809">
      <c r="A809" s="13" t="n">
        <v>68</v>
      </c>
      <c r="B809" s="24" t="n">
        <v>46360</v>
      </c>
      <c r="C809" s="13" t="inlineStr">
        <is>
          <t>HLD</t>
        </is>
      </c>
      <c r="D809" s="16" t="inlineStr">
        <is>
          <t>Intermediate</t>
        </is>
      </c>
      <c r="E809" s="13" t="inlineStr">
        <is>
          <t>How do you decide between SQL and NoSQL in your template?</t>
        </is>
      </c>
      <c r="F809" s="13" t="inlineStr">
        <is>
          <t>Start from the access patterns. Relational data with transactions, joins and ad-hoc queries (payments, bookings, orders) points to SQL such as Postgres. Very high write volume with simple key-based access, known queries and flexible schema (chat messages, event logs, feeds) points to NoSQL such as Cassandra, DynamoDB or Cosmos DB. Say why, name the partition key, and note that many designs use both.</t>
        </is>
      </c>
      <c r="G809" s="13" t="inlineStr"/>
    </row>
    <row r="810">
      <c r="A810" s="13" t="n">
        <v>68</v>
      </c>
      <c r="B810" s="24" t="n">
        <v>46360</v>
      </c>
      <c r="C810" s="13" t="inlineStr">
        <is>
          <t>HLD</t>
        </is>
      </c>
      <c r="D810" s="17" t="inlineStr">
        <is>
          <t>Advanced</t>
        </is>
      </c>
      <c r="E810" s="13" t="inlineStr">
        <is>
          <t>You are asked to design a system you have never studied. How do you apply the template?</t>
        </is>
      </c>
      <c r="F810" s="13" t="inlineStr">
        <is>
          <t>Clarify requirements to find the core entities and the read/write ratio, then map the problem onto building blocks you know: is it a feed, a chat, a key-value lookup, a queue of jobs, or a search problem? Reuse that pattern's standard design (cache, fan-out, queue plus workers, partitioning) and adapt it. Think aloud, state assumptions, and let the interviewer steer you toward the deep dive they care about.</t>
        </is>
      </c>
      <c r="G810" s="13" t="inlineStr"/>
    </row>
    <row r="811">
      <c r="A811" s="13" t="n">
        <v>68</v>
      </c>
      <c r="B811" s="24" t="n">
        <v>46360</v>
      </c>
      <c r="C811" s="13" t="inlineStr">
        <is>
          <t>HLD</t>
        </is>
      </c>
      <c r="D811" s="17" t="inlineStr">
        <is>
          <t>Advanced</t>
        </is>
      </c>
      <c r="E811" s="13" t="inlineStr">
        <is>
          <t>How do you close an HLD answer strongly?</t>
        </is>
      </c>
      <c r="F811" s="13" t="inlineStr">
        <is>
          <t>Summarise the design in two sentences, then state the key trade-offs you made and why (for example eventual consistency for feed availability). Go through failure modes, how you would monitor it (SLIs such as latency, error rate and queue lag, with alerts), what breaks first at 10x, and cost and security considerations. This end-to-end ownership is what separates a strong candidate from an average one.</t>
        </is>
      </c>
      <c r="G811" s="13" t="inlineStr"/>
    </row>
    <row r="812">
      <c r="A812" s="13" t="n">
        <v>68</v>
      </c>
      <c r="B812" s="24" t="n">
        <v>46360</v>
      </c>
      <c r="C812" s="13" t="inlineStr">
        <is>
          <t>LLD</t>
        </is>
      </c>
      <c r="D812" s="18" t="inlineStr">
        <is>
          <t>Basic</t>
        </is>
      </c>
      <c r="E812" s="13" t="inlineStr">
        <is>
          <t>Creational patterns in one line each.</t>
        </is>
      </c>
      <c r="F812" s="13" t="inlineStr">
        <is>
          <t>Singleton: exactly one instance with a global access point
- Factory Method: subclasses or a method decide which concrete class to create
- Abstract Factory: creates families of related objects without naming concrete classes
- Builder: builds a complex object step by step, often fluently
- Prototype: creates new objects by cloning an existing one</t>
        </is>
      </c>
      <c r="G812" s="13" t="inlineStr"/>
    </row>
    <row r="813">
      <c r="A813" s="13" t="n">
        <v>68</v>
      </c>
      <c r="B813" s="24" t="n">
        <v>46360</v>
      </c>
      <c r="C813" s="13" t="inlineStr">
        <is>
          <t>LLD</t>
        </is>
      </c>
      <c r="D813" s="18" t="inlineStr">
        <is>
          <t>Basic</t>
        </is>
      </c>
      <c r="E813" s="13" t="inlineStr">
        <is>
          <t>Structural patterns in one line each.</t>
        </is>
      </c>
      <c r="F813" s="13" t="inlineStr">
        <is>
          <t>Adapter: converts one interface into the one a client expects
- Decorator: wraps an object to add behaviour without changing it
- Facade: gives a simple interface to a complex subsystem
- Proxy: a stand-in that controls access (lazy loading, remote, caching, auth)
- Composite: treats trees of objects uniformly
- Bridge: separates an abstraction from its implementation so both can vary
- Flyweight: shares immutable state across many small objects</t>
        </is>
      </c>
      <c r="G813" s="13" t="inlineStr"/>
    </row>
    <row r="814">
      <c r="A814" s="13" t="n">
        <v>68</v>
      </c>
      <c r="B814" s="24" t="n">
        <v>46360</v>
      </c>
      <c r="C814" s="13" t="inlineStr">
        <is>
          <t>LLD</t>
        </is>
      </c>
      <c r="D814" s="16" t="inlineStr">
        <is>
          <t>Intermediate</t>
        </is>
      </c>
      <c r="E814" s="13" t="inlineStr">
        <is>
          <t>Behavioural patterns in one line each.</t>
        </is>
      </c>
      <c r="F814" s="13" t="inlineStr">
        <is>
          <t>Strategy: interchangeable algorithms behind one interface
- Observer: subscribers are notified of events
- Command: a request as an object (queue, undo)
- State: behaviour changes with internal state
- Template Method: base class fixes the skeleton and subclasses fill in steps
- Chain of Responsibility: pass a request along handlers
- Iterator: traverse without exposing internals
- Mediator: objects talk through a central coordinator
- Visitor: add operations to a class hierarchy without changing it</t>
        </is>
      </c>
      <c r="G814" s="13" t="inlineStr"/>
    </row>
    <row r="815">
      <c r="A815" s="13" t="n">
        <v>68</v>
      </c>
      <c r="B815" s="24" t="n">
        <v>46360</v>
      </c>
      <c r="C815" s="13" t="inlineStr">
        <is>
          <t>LLD</t>
        </is>
      </c>
      <c r="D815" s="16" t="inlineStr">
        <is>
          <t>Intermediate</t>
        </is>
      </c>
      <c r="E815" s="13" t="inlineStr">
        <is>
          <t>Which pattern fits which common LLD interview problem?</t>
        </is>
      </c>
      <c r="F815" s="13" t="inlineStr">
        <is>
          <t>Parking lot: Strategy (allocation, pricing) and Factory (vehicles, spots)
- Elevator: State (car state) and Strategy (dispatching)
- Vending machine and ATM: State
- Splitwise: Strategy (split types)
- Notification service: Observer plus Strategy or Factory per channel
- Text editor undo: Command and Memento
- Cache: Strategy for eviction
- Logger: Chain of Responsibility or Singleton</t>
        </is>
      </c>
      <c r="G815" s="13" t="inlineStr"/>
    </row>
    <row r="816">
      <c r="A816" s="13" t="n">
        <v>68</v>
      </c>
      <c r="B816" s="24" t="n">
        <v>46360</v>
      </c>
      <c r="C816" s="13" t="inlineStr">
        <is>
          <t>LLD</t>
        </is>
      </c>
      <c r="D816" s="17" t="inlineStr">
        <is>
          <t>Advanced</t>
        </is>
      </c>
      <c r="E816" s="13" t="inlineStr">
        <is>
          <t>Decorator, Proxy and Adapter all wrap an object. How do you tell them apart?</t>
        </is>
      </c>
      <c r="F816" s="13" t="inlineStr">
        <is>
          <t>The difference is intent. A Decorator keeps the same interface and adds behaviour, and decorators can be stacked (logging around caching around a repository). A Proxy keeps the same interface but controls access to the real object (lazy loading, remote calls, authorisation, caching). An Adapter changes the interface so an incompatible class, such as a third-party SDK, can be used where your interface is expected.</t>
        </is>
      </c>
      <c r="G816" s="13" t="inlineStr"/>
    </row>
    <row r="817">
      <c r="A817" s="13" t="n">
        <v>68</v>
      </c>
      <c r="B817" s="24" t="n">
        <v>46360</v>
      </c>
      <c r="C817" s="13" t="inlineStr">
        <is>
          <t>LLD</t>
        </is>
      </c>
      <c r="D817" s="17" t="inlineStr">
        <is>
          <t>Advanced</t>
        </is>
      </c>
      <c r="E817" s="13" t="inlineStr">
        <is>
          <t>When should you not use design patterns, and what is wrong with a classic Singleton in .NET?</t>
        </is>
      </c>
      <c r="F817" s="13" t="inlineStr">
        <is>
          <t>Do not add patterns to code that has no real variation point; that is over-engineering and violates YAGNI, so let patterns come from the axes of change you can actually see. A static Singleton hides global state, couples callers to a concrete class, and makes unit testing and parallel tests hard. In .NET, register the class with services.AddSingleton&lt;IFoo, Foo&gt;() instead; if you really need a static one, use Lazy&lt;T&gt; for thread-safe lazy initialisation.</t>
        </is>
      </c>
      <c r="G817" s="13" t="inlineStr"/>
    </row>
    <row r="818">
      <c r="A818" s="13" t="n">
        <v>69</v>
      </c>
      <c r="B818" s="24" t="n">
        <v>46361</v>
      </c>
      <c r="C818" s="13" t="inlineStr">
        <is>
          <t>HLD</t>
        </is>
      </c>
      <c r="D818" s="18" t="inlineStr">
        <is>
          <t>Basic</t>
        </is>
      </c>
      <c r="E818" s="13" t="inlineStr">
        <is>
          <t>Uber mock: which requirements do you clarify first?</t>
        </is>
      </c>
      <c r="F818" s="13" t="inlineStr">
        <is>
          <t>Functional: a rider requests a ride, sees nearby drivers and an ETA, gets matched, a driver accepts, both track each other live, the trip ends with a fare and payment, and both leave ratings. Non-functional: matching in a few seconds, location updates every few seconds, high availability, and strong consistency only where it matters (a driver must not be assigned to two trips). Scope out pooling and scheduled rides unless asked.</t>
        </is>
      </c>
      <c r="G818" s="13" t="inlineStr"/>
    </row>
    <row r="819">
      <c r="A819" s="13" t="n">
        <v>69</v>
      </c>
      <c r="B819" s="24" t="n">
        <v>46361</v>
      </c>
      <c r="C819" s="13" t="inlineStr">
        <is>
          <t>HLD</t>
        </is>
      </c>
      <c r="D819" s="18" t="inlineStr">
        <is>
          <t>Basic</t>
        </is>
      </c>
      <c r="E819" s="13" t="inlineStr">
        <is>
          <t>How are driver locations sent and stored?</t>
        </is>
      </c>
      <c r="F819" s="13" t="inlineStr">
        <is>
          <t>Each active driver sends its location about every 4 seconds; with 1M active drivers that is about 250k writes/s. Only the latest location is needed for matching, so it lives in an in-memory geo index (Redis GEO, or custom services keyed by geo cell) instead of a relational table. Location history goes to Kafka and then to cheap storage for trip replay and analytics.</t>
        </is>
      </c>
      <c r="G819" s="13" t="inlineStr"/>
    </row>
    <row r="820">
      <c r="A820" s="13" t="n">
        <v>69</v>
      </c>
      <c r="B820" s="24" t="n">
        <v>46361</v>
      </c>
      <c r="C820" s="13" t="inlineStr">
        <is>
          <t>HLD</t>
        </is>
      </c>
      <c r="D820" s="16" t="inlineStr">
        <is>
          <t>Intermediate</t>
        </is>
      </c>
      <c r="E820" s="13" t="inlineStr">
        <is>
          <t>How do you find nearby available drivers quickly?</t>
        </is>
      </c>
      <c r="F820" s="13" t="inlineStr">
        <is>
          <t>Divide the map into cells with geohash, Google S2 or Uber's H3, and keep an index from cell to the drivers in it, updated as they move. For a request, look up the rider's cell plus neighbouring cells (or run Redis GEOSEARCH within a radius), filter to available drivers with the right vehicle type, and rank by ETA from a routing service rather than straight-line distance. A quadtree is an alternative for uneven density.</t>
        </is>
      </c>
      <c r="G820" s="13" t="inlineStr"/>
    </row>
    <row r="821">
      <c r="A821" s="13" t="n">
        <v>69</v>
      </c>
      <c r="B821" s="24" t="n">
        <v>46361</v>
      </c>
      <c r="C821" s="13" t="inlineStr">
        <is>
          <t>HLD</t>
        </is>
      </c>
      <c r="D821" s="16" t="inlineStr">
        <is>
          <t>Intermediate</t>
        </is>
      </c>
      <c r="E821" s="13" t="inlineStr">
        <is>
          <t>How does matching avoid assigning one driver to two riders?</t>
        </is>
      </c>
      <c r="F821" s="13" t="inlineStr">
        <is>
          <t>The matching service picks the best candidates and sends an offer to one driver at a time, with a timeout of about 10-15 seconds before moving on. The driver is reserved with an atomic state change such as Available to Offered (Redis SET NX with a TTL, or a conditional DB update), so a second matcher cannot claim the same driver. On accept the trip is created; on timeout or decline the reservation is released.</t>
        </is>
      </c>
      <c r="G821" s="13" t="inlineStr"/>
    </row>
    <row r="822">
      <c r="A822" s="13" t="n">
        <v>69</v>
      </c>
      <c r="B822" s="24" t="n">
        <v>46361</v>
      </c>
      <c r="C822" s="13" t="inlineStr">
        <is>
          <t>HLD</t>
        </is>
      </c>
      <c r="D822" s="17" t="inlineStr">
        <is>
          <t>Advanced</t>
        </is>
      </c>
      <c r="E822" s="13" t="inlineStr">
        <is>
          <t>Walk through the trip state machine and how other services find out about it.</t>
        </is>
      </c>
      <c r="F822" s="13" t="inlineStr">
        <is>
          <t>Requested, then DriverAssigned, DriverArrived, InProgress, Completed; Cancelled is reachable from the early states. The trip lives in a transactional DB, and each transition is a conditional, idempotent update, so retried or duplicate driver-app requests are safe. Every transition publishes an event (through an outbox) to billing, notifications, ETA and analytics, and payment is charged after Completed through the payment service.</t>
        </is>
      </c>
      <c r="G822" s="13" t="inlineStr"/>
    </row>
    <row r="823">
      <c r="A823" s="13" t="n">
        <v>69</v>
      </c>
      <c r="B823" s="24" t="n">
        <v>46361</v>
      </c>
      <c r="C823" s="13" t="inlineStr">
        <is>
          <t>HLD</t>
        </is>
      </c>
      <c r="D823" s="17" t="inlineStr">
        <is>
          <t>Advanced</t>
        </is>
      </c>
      <c r="E823" s="13" t="inlineStr">
        <is>
          <t>How do you handle hot spots such as an airport or a surge in demand?</t>
        </is>
      </c>
      <c r="F823" s="13" t="inlineStr">
        <is>
          <t>Shard by city or region, since trips rarely cross regions, and subdivide dense cells dynamically so no single index partition becomes hot. Surge pricing is computed per cell from the supply/demand ratio by a stream processor over recent requests and available drivers. For resilience, run regions active-active or with failover, and treat location data as soft state that is rebuilt within seconds because drivers resend every 4 seconds.</t>
        </is>
      </c>
      <c r="G823" s="13" t="inlineStr"/>
    </row>
    <row r="824">
      <c r="A824" s="13" t="n">
        <v>69</v>
      </c>
      <c r="B824" s="24" t="n">
        <v>46361</v>
      </c>
      <c r="C824" s="13" t="inlineStr">
        <is>
          <t>LLD</t>
        </is>
      </c>
      <c r="D824" s="18" t="inlineStr">
        <is>
          <t>Basic</t>
        </is>
      </c>
      <c r="E824" s="13" t="inlineStr">
        <is>
          <t>Elevator mock: which requirements and classes do you start with?</t>
        </is>
      </c>
      <c r="F824" s="13" t="inlineStr">
        <is>
          <t>Clarify the number of floors and elevators, capacity, and whether there are hall buttons (up or down) and car buttons (destination floor). Classes: Building, ElevatorController (dispatcher), ElevatorCar, Request (floor, direction, internal or external), a Direction enum, a car state, Door, Display and button panels. The controller assigns hall requests; each car serves its own stop list.</t>
        </is>
      </c>
      <c r="G824" s="13" t="inlineStr"/>
    </row>
    <row r="825">
      <c r="A825" s="13" t="n">
        <v>69</v>
      </c>
      <c r="B825" s="24" t="n">
        <v>46361</v>
      </c>
      <c r="C825" s="13" t="inlineStr">
        <is>
          <t>LLD</t>
        </is>
      </c>
      <c r="D825" s="18" t="inlineStr">
        <is>
          <t>Basic</t>
        </is>
      </c>
      <c r="E825" s="13" t="inlineStr">
        <is>
          <t>Which states can an elevator car be in, and how do you model them?</t>
        </is>
      </c>
      <c r="F825" s="13" t="inlineStr">
        <is>
          <t>Idle, MovingUp, MovingDown, DoorsOpen and Maintenance (or OutOfService). An enum with guarded transitions is often enough; use the State pattern if each state has substantially different behaviour, for example ignoring requests while in Maintenance or keeping doors open while DoorsOpen. Transitions are triggered by new requests, reaching a floor and door timers.</t>
        </is>
      </c>
      <c r="G825" s="13" t="inlineStr"/>
    </row>
    <row r="826">
      <c r="A826" s="13" t="n">
        <v>69</v>
      </c>
      <c r="B826" s="24" t="n">
        <v>46361</v>
      </c>
      <c r="C826" s="13" t="inlineStr">
        <is>
          <t>LLD</t>
        </is>
      </c>
      <c r="D826" s="16" t="inlineStr">
        <is>
          <t>Intermediate</t>
        </is>
      </c>
      <c r="E826" s="13" t="inlineStr">
        <is>
          <t>Implement the LOOK scheduling logic for a single car.</t>
        </is>
      </c>
      <c r="F826" s="13" t="inlineStr">
        <is>
          <t>Keep stops above and below the current floor in two sorted sets; serve everything in the current direction, then reverse.
```csharp
class Elevator {
    public int Floor { get; private set; }
    public Direction Dir { get; private set; } = Direction.Idle;
    private readonly SortedSet&lt;int&gt; _up = new(), _down = new();
    public void AddStop(int f) { if (f &gt;= Floor) _up.Add(f); else _down.Add(f); }
    public int? NextStop() =&gt; Dir != Direction.Down
        ? (_up.Count &gt; 0 ? _up.Min : _down.Count &gt; 0 ? _down.Max : (int?)null)
        : (_down.Count &gt; 0 ? _down.Max : _up.Count &gt; 0 ? _up.Min : (int?)null);
}
```</t>
        </is>
      </c>
      <c r="G826" s="13" t="inlineStr"/>
    </row>
    <row r="827">
      <c r="A827" s="13" t="n">
        <v>69</v>
      </c>
      <c r="B827" s="24" t="n">
        <v>46361</v>
      </c>
      <c r="C827" s="13" t="inlineStr">
        <is>
          <t>LLD</t>
        </is>
      </c>
      <c r="D827" s="16" t="inlineStr">
        <is>
          <t>Intermediate</t>
        </is>
      </c>
      <c r="E827" s="13" t="inlineStr">
        <is>
          <t>How does the controller decide which elevator serves a hall request?</t>
        </is>
      </c>
      <c r="F827" s="13" t="inlineStr">
        <is>
          <t>Use a Strategy, IDispatchStrategy, so the algorithm can change. A common cost function scores each car: a car already moving toward the floor in the same direction is cheapest, then idle cars by distance, and cars moving away are the most expensive, with penalties for the number of pending stops and load. Different strategies can be used for morning peak (favour the lobby) versus normal hours.</t>
        </is>
      </c>
      <c r="G827" s="13" t="inlineStr"/>
    </row>
    <row r="828">
      <c r="A828" s="13" t="n">
        <v>69</v>
      </c>
      <c r="B828" s="24" t="n">
        <v>46361</v>
      </c>
      <c r="C828" s="13" t="inlineStr">
        <is>
          <t>LLD</t>
        </is>
      </c>
      <c r="D828" s="17" t="inlineStr">
        <is>
          <t>Advanced</t>
        </is>
      </c>
      <c r="E828" s="13" t="inlineStr">
        <is>
          <t>How do you handle concurrent button presses from many floors?</t>
        </is>
      </c>
      <c r="F828" s="13" t="inlineStr">
        <is>
          <t>Give each car its own processing loop (a background Task) that reads requests from a Channel&lt;Request&gt;, so a car's state is changed by only one thread. The controller only decides which car gets a request and writes it to that car's channel; any shared read of car positions uses a lock or immutable snapshots. This actor-style design avoids locking the whole building.</t>
        </is>
      </c>
      <c r="G828" s="13" t="inlineStr"/>
    </row>
    <row r="829">
      <c r="A829" s="13" t="n">
        <v>69</v>
      </c>
      <c r="B829" s="24" t="n">
        <v>46361</v>
      </c>
      <c r="C829" s="13" t="inlineStr">
        <is>
          <t>LLD</t>
        </is>
      </c>
      <c r="D829" s="17" t="inlineStr">
        <is>
          <t>Advanced</t>
        </is>
      </c>
      <c r="E829" s="13" t="inlineStr">
        <is>
          <t>How would you add fire mode, capacity limits and maintenance?</t>
        </is>
      </c>
      <c r="F829" s="13" t="inlineStr">
        <is>
          <t>Fire mode: a FireAlarm subject notifies the controller (Observer), which moves every car into an Emergency state that goes to the ground floor, opens the doors and ignores new requests. Capacity: a weight sensor blocks door close and skips hall stops when the car is full. Maintenance: a car in that state is excluded from dispatch. All three are added through new states, strategies or observers without rewriting existing classes.</t>
        </is>
      </c>
      <c r="G829" s="13" t="inlineStr"/>
    </row>
    <row r="830">
      <c r="A830" s="13" t="n">
        <v>70</v>
      </c>
      <c r="B830" s="24" t="n">
        <v>46362</v>
      </c>
      <c r="C830" s="13" t="inlineStr">
        <is>
          <t>HLD</t>
        </is>
      </c>
      <c r="D830" s="18" t="inlineStr">
        <is>
          <t>Basic</t>
        </is>
      </c>
      <c r="E830" s="13" t="inlineStr">
        <is>
          <t>Rapid-fire: what is the core storage choice for each system from this week?</t>
        </is>
      </c>
      <c r="F830" s="13" t="inlineStr">
        <is>
          <t>Leaderboard: Redis sorted set, with a DB or event log as the source of truth
- Instagram: blob storage plus CDN for media, a sharded DB for metadata, Redis lists for feeds
- WhatsApp: a per-user inbox in a wide-column store, plus a connection registry in Redis
- YouTube: blob storage for segments behind a CDN, plus a metadata DB
- Uber: an in-memory geo index for live locations, plus a transactional DB for trips</t>
        </is>
      </c>
      <c r="G830" s="13" t="inlineStr"/>
    </row>
    <row r="831">
      <c r="A831" s="13" t="n">
        <v>70</v>
      </c>
      <c r="B831" s="24" t="n">
        <v>46362</v>
      </c>
      <c r="C831" s="13" t="inlineStr">
        <is>
          <t>HLD</t>
        </is>
      </c>
      <c r="D831" s="18" t="inlineStr">
        <is>
          <t>Basic</t>
        </is>
      </c>
      <c r="E831" s="13" t="inlineStr">
        <is>
          <t>Which of this week's systems are read-heavy and which are write-heavy, and why does it matter?</t>
        </is>
      </c>
      <c r="F831" s="13" t="inlineStr">
        <is>
          <t>Instagram and YouTube are strongly read-heavy, so caching, CDNs and precomputed feeds are the main tools. Uber location updates and leaderboard score updates are write-heavy, so they go to in-memory stores with batching instead of a DB write per event. WhatsApp writes every message and reads it about once, so it needs append-optimised storage. The read/write ratio decides whether you optimise with caches or with write paths.</t>
        </is>
      </c>
      <c r="G831" s="13" t="inlineStr"/>
    </row>
    <row r="832">
      <c r="A832" s="13" t="n">
        <v>70</v>
      </c>
      <c r="B832" s="24" t="n">
        <v>46362</v>
      </c>
      <c r="C832" s="13" t="inlineStr">
        <is>
          <t>HLD</t>
        </is>
      </c>
      <c r="D832" s="16" t="inlineStr">
        <is>
          <t>Intermediate</t>
        </is>
      </c>
      <c r="E832" s="13" t="inlineStr">
        <is>
          <t>Push vs pull comes up in several of this week's designs. How do you choose?</t>
        </is>
      </c>
      <c r="F832" s="13" t="inlineStr">
        <is>
          <t>Instagram uses hybrid fan-out (push for normal users, pull for celebrities). WhatsApp pushes over persistent connections and falls back to pull on reconnect. Uber drivers push locations and riders receive pushed updates over a WebSocket. Choose push when freshness matters and the fan-out cost is bounded; choose pull when fan-out is huge or data is rarely read.</t>
        </is>
      </c>
      <c r="G832" s="13" t="inlineStr"/>
    </row>
    <row r="833">
      <c r="A833" s="13" t="n">
        <v>70</v>
      </c>
      <c r="B833" s="24" t="n">
        <v>46362</v>
      </c>
      <c r="C833" s="13" t="inlineStr">
        <is>
          <t>HLD</t>
        </is>
      </c>
      <c r="D833" s="16" t="inlineStr">
        <is>
          <t>Intermediate</t>
        </is>
      </c>
      <c r="E833" s="13" t="inlineStr">
        <is>
          <t>How do you redo a full mock question in 20 minutes?</t>
        </is>
      </c>
      <c r="F833" s="13" t="inlineStr">
        <is>
          <t>Compress the template: requirements in 3 minutes, estimates in 2, API and data model in 3, diagram and request flow in 7, and one deep dive in 5. Pick the deep dive on the section you scored lowest in the mock. Time yourself and say it out loud, because the goal is fluent structure rather than new content.</t>
        </is>
      </c>
      <c r="G833" s="13" t="inlineStr"/>
    </row>
    <row r="834">
      <c r="A834" s="13" t="n">
        <v>70</v>
      </c>
      <c r="B834" s="24" t="n">
        <v>46362</v>
      </c>
      <c r="C834" s="13" t="inlineStr">
        <is>
          <t>HLD</t>
        </is>
      </c>
      <c r="D834" s="17" t="inlineStr">
        <is>
          <t>Advanced</t>
        </is>
      </c>
      <c r="E834" s="13" t="inlineStr">
        <is>
          <t>A common weak area is hot spots. Summarise how to handle them across this week's systems.</t>
        </is>
      </c>
      <c r="F834" s="13" t="inlineStr">
        <is>
          <t>Celebrity posts: hybrid fan-out
- Viral videos: CDN edges and cache replication
- Hot leaderboard: batch updates and partition by game or region
- Dense Uber cell: subdivide the cell and shard by region
- Large chat groups: dedicated group fan-out service
- General tools: replicate reads, split hot keys (key#1..N), batch writes, cache aggressively and rate-limit at the edge</t>
        </is>
      </c>
      <c r="G834" s="13" t="inlineStr"/>
    </row>
    <row r="835">
      <c r="A835" s="13" t="n">
        <v>70</v>
      </c>
      <c r="B835" s="24" t="n">
        <v>46362</v>
      </c>
      <c r="C835" s="13" t="inlineStr">
        <is>
          <t>HLD</t>
        </is>
      </c>
      <c r="D835" s="17" t="inlineStr">
        <is>
          <t>Advanced</t>
        </is>
      </c>
      <c r="E835" s="13" t="inlineStr">
        <is>
          <t>Another weak area is failure handling. What happens when a key component dies in each system?</t>
        </is>
      </c>
      <c r="F835" s="13" t="inlineStr">
        <is>
          <t>Redis leaderboard lost: rebuild from the durable DB or event log. Chat gateway dies: clients reconnect to another gateway and pull pending messages from their inbox. Transcoding worker dies: the queue redelivers the task and idempotent steps make the retry safe. Uber location node dies: drivers resend within 4 seconds, so the soft state rebuilds itself. The principle is to keep the source of truth durable and make everything else recoverable soft state.</t>
        </is>
      </c>
      <c r="G835" s="13" t="inlineStr"/>
    </row>
    <row r="836">
      <c r="A836" s="13" t="n">
        <v>70</v>
      </c>
      <c r="B836" s="24" t="n">
        <v>46362</v>
      </c>
      <c r="C836" s="13" t="inlineStr">
        <is>
          <t>LLD</t>
        </is>
      </c>
      <c r="D836" s="18" t="inlineStr">
        <is>
          <t>Basic</t>
        </is>
      </c>
      <c r="E836" s="13" t="inlineStr">
        <is>
          <t>How do you use the first 5 minutes of any LLD mock?</t>
        </is>
      </c>
      <c r="F836" s="13" t="inlineStr">
        <is>
          <t>Clarify requirements and list the main use cases, and confirm what is out of scope. Pull out nouns as candidate classes and verbs as methods, and sketch the relationships (has-a, is-a). Then name the interfaces where behaviour will vary, before writing any code.</t>
        </is>
      </c>
      <c r="G836" s="13" t="inlineStr"/>
    </row>
    <row r="837">
      <c r="A837" s="13" t="n">
        <v>70</v>
      </c>
      <c r="B837" s="24" t="n">
        <v>46362</v>
      </c>
      <c r="C837" s="13" t="inlineStr">
        <is>
          <t>LLD</t>
        </is>
      </c>
      <c r="D837" s="18" t="inlineStr">
        <is>
          <t>Basic</t>
        </is>
      </c>
      <c r="E837" s="13" t="inlineStr">
        <is>
          <t>What are the most common mistakes in LLD mocks?</t>
        </is>
      </c>
      <c r="F837" s="13" t="inlineStr">
        <is>
          <t>A god class that does everything
- No interfaces, so nothing can be extended or mocked
- Public mutable fields and exposed collections
- Ignoring concurrency where shared resources exist
- Forcing patterns where there is no variation
- Skipping validation and edge cases
- Never getting to working code for the core flow</t>
        </is>
      </c>
      <c r="G837" s="13" t="inlineStr"/>
    </row>
    <row r="838">
      <c r="A838" s="13" t="n">
        <v>70</v>
      </c>
      <c r="B838" s="24" t="n">
        <v>46362</v>
      </c>
      <c r="C838" s="13" t="inlineStr">
        <is>
          <t>LLD</t>
        </is>
      </c>
      <c r="D838" s="16" t="inlineStr">
        <is>
          <t>Intermediate</t>
        </is>
      </c>
      <c r="E838" s="13" t="inlineStr">
        <is>
          <t>How do you justify composition over inheritance during an LLD interview?</t>
        </is>
      </c>
      <c r="F838" s="13" t="inlineStr">
        <is>
          <t>Composition (has-a) lets you swap behaviour at runtime, for example injecting a pricing strategy or a dispatch strategy, and avoids fragile base classes and deep hierarchies. Use inheritance only for a true is-a relationship with shared invariants that passes the Liskov substitution check. A good line: vehicles differ by data, so a VehicleType enum is enough; pricing differs by behaviour, so it becomes a strategy.</t>
        </is>
      </c>
      <c r="G838" s="13" t="inlineStr"/>
    </row>
    <row r="839">
      <c r="A839" s="13" t="n">
        <v>70</v>
      </c>
      <c r="B839" s="24" t="n">
        <v>46362</v>
      </c>
      <c r="C839" s="13" t="inlineStr">
        <is>
          <t>LLD</t>
        </is>
      </c>
      <c r="D839" s="16" t="inlineStr">
        <is>
          <t>Intermediate</t>
        </is>
      </c>
      <c r="E839" s="13" t="inlineStr">
        <is>
          <t>Give a quick SOLID checklist to run over your mock design.</t>
        </is>
      </c>
      <c r="F839" s="13" t="inlineStr">
        <is>
          <t>S: each class has one reason to change (Ticket does not calculate fees)
- O: new behaviour arrives as a new strategy or state class, not by editing a switch
- L: every subtype works wherever its base type is expected
- I: small, focused interfaces instead of one fat interface
- D: high-level classes depend on abstractions injected through the constructor</t>
        </is>
      </c>
      <c r="G839" s="13" t="inlineStr"/>
    </row>
    <row r="840">
      <c r="A840" s="13" t="n">
        <v>70</v>
      </c>
      <c r="B840" s="24" t="n">
        <v>46362</v>
      </c>
      <c r="C840" s="13" t="inlineStr">
        <is>
          <t>LLD</t>
        </is>
      </c>
      <c r="D840" s="17" t="inlineStr">
        <is>
          <t>Advanced</t>
        </is>
      </c>
      <c r="E840" s="13" t="inlineStr">
        <is>
          <t>How do you make an LLD design unit-testable in C#?</t>
        </is>
      </c>
      <c r="F840" s="13" t="inlineStr">
        <is>
          <t>Inject everything non-deterministic: time, randomness, IO and external services. In .NET 8, TimeProvider replaces DateTime.Now, and FakeTimeProvider controls it in tests.
```csharp
public class FeeCalculator(TimeProvider clock, IPricingStrategy pricing) {
    public decimal Checkout(Ticket t) {
        var duration = clock.GetUtcNow() - t.EntryTime;
        return pricing.Calculate(t.SpotType, duration);
    }
}
```</t>
        </is>
      </c>
      <c r="G840" s="13" t="inlineStr"/>
    </row>
    <row r="841">
      <c r="A841" s="13" t="n">
        <v>70</v>
      </c>
      <c r="B841" s="24" t="n">
        <v>46362</v>
      </c>
      <c r="C841" s="13" t="inlineStr">
        <is>
          <t>LLD</t>
        </is>
      </c>
      <c r="D841" s="17" t="inlineStr">
        <is>
          <t>Advanced</t>
        </is>
      </c>
      <c r="E841" s="13" t="inlineStr">
        <is>
          <t>How do you discuss thread safety in an LLD answer without overdoing it?</t>
        </is>
      </c>
      <c r="F841" s="13" t="inlineStr">
        <is>
          <t>Name the shared mutable state explicitly: parking spots, seat inventory, elevator stop lists, leaderboard structures. Pick the smallest correct tool: a ConcurrentDictionary or ConcurrentQueue for single operations, a lock when several structures must change together, a Channel for producer/consumer, or immutable objects. Mention lock granularity (per show or per floor rather than global), and say how it maps to DB-level conditional updates once the system is distributed.</t>
        </is>
      </c>
      <c r="G841" s="13" t="inlineStr"/>
    </row>
    <row r="842">
      <c r="A842" s="13" t="n">
        <v>71</v>
      </c>
      <c r="B842" s="24" t="n">
        <v>46363</v>
      </c>
      <c r="C842" s="13" t="inlineStr">
        <is>
          <t>HLD</t>
        </is>
      </c>
      <c r="D842" s="18" t="inlineStr">
        <is>
          <t>Basic</t>
        </is>
      </c>
      <c r="E842" s="13" t="inlineStr">
        <is>
          <t>What is an idempotency key and why is it essential in payments?</t>
        </is>
      </c>
      <c r="F842" s="13" t="inlineStr">
        <is>
          <t>It is a unique key the client generates for each payment attempt and sends with the request (for example an Idempotency-Key header). The server stores key to result with a unique constraint; a retry with the same key returns the stored result instead of charging again. Keys are kept for a period such as 24 hours, and a request with the same key but a different body is rejected.</t>
        </is>
      </c>
      <c r="G842" s="13" t="inlineStr"/>
    </row>
    <row r="843">
      <c r="A843" s="13" t="n">
        <v>71</v>
      </c>
      <c r="B843" s="24" t="n">
        <v>46363</v>
      </c>
      <c r="C843" s="13" t="inlineStr">
        <is>
          <t>HLD</t>
        </is>
      </c>
      <c r="D843" s="18" t="inlineStr">
        <is>
          <t>Basic</t>
        </is>
      </c>
      <c r="E843" s="13" t="inlineStr">
        <is>
          <t>What are the states of a payment?</t>
        </is>
      </c>
      <c r="F843" s="13" t="inlineStr">
        <is>
          <t>Created, then Authorised (funds held on the card), then Captured (money actually moved), then optionally Refunded or PartiallyRefunded. Side paths: Failed (authorisation declined), Voided (authorisation released before capture) and Expired (authorisation not captured in time). Transitions are enforced by a state machine, and every change is recorded.</t>
        </is>
      </c>
      <c r="G843" s="13" t="inlineStr"/>
    </row>
    <row r="844">
      <c r="A844" s="13" t="n">
        <v>71</v>
      </c>
      <c r="B844" s="24" t="n">
        <v>46363</v>
      </c>
      <c r="C844" s="13" t="inlineStr">
        <is>
          <t>HLD</t>
        </is>
      </c>
      <c r="D844" s="16" t="inlineStr">
        <is>
          <t>Intermediate</t>
        </is>
      </c>
      <c r="E844" s="13" t="inlineStr">
        <is>
          <t>The call to the payment provider times out. Did the charge happen, and what do you do?</t>
        </is>
      </c>
      <c r="F844" s="13" t="inlineStr">
        <is>
          <t>The outcome is unknown, so never retry with a new key, because that risks a double charge. Mark the payment Pending or Unknown, retry with the same idempotency key (providers such as Stripe and Razorpay dedupe on it) or query the provider's status API, and also listen for the provider's webhook. Retries use exponential backoff with jitter, and anything still unresolved is settled by reconciliation.</t>
        </is>
      </c>
      <c r="G844" s="13" t="inlineStr"/>
    </row>
    <row r="845">
      <c r="A845" s="13" t="n">
        <v>71</v>
      </c>
      <c r="B845" s="24" t="n">
        <v>46363</v>
      </c>
      <c r="C845" s="13" t="inlineStr">
        <is>
          <t>HLD</t>
        </is>
      </c>
      <c r="D845" s="16" t="inlineStr">
        <is>
          <t>Intermediate</t>
        </is>
      </c>
      <c r="E845" s="13" t="inlineStr">
        <is>
          <t>What is reconciliation and why is it needed?</t>
        </is>
      </c>
      <c r="F845" s="13" t="inlineStr">
        <is>
          <t>Reconciliation is a scheduled job that compares your internal ledger and payment records with the provider's reports and bank settlement files. It flags mismatches: payments you think succeeded that the provider does not have, amount differences, duplicates, and missing refunds. Mismatches are fixed automatically when safe or sent to a manual review queue. It is the safety net that catches every async failure the online flow missed.</t>
        </is>
      </c>
      <c r="G845" s="13" t="inlineStr"/>
    </row>
    <row r="846">
      <c r="A846" s="13" t="n">
        <v>71</v>
      </c>
      <c r="B846" s="24" t="n">
        <v>46363</v>
      </c>
      <c r="C846" s="13" t="inlineStr">
        <is>
          <t>HLD</t>
        </is>
      </c>
      <c r="D846" s="17" t="inlineStr">
        <is>
          <t>Advanced</t>
        </is>
      </c>
      <c r="E846" s="13" t="inlineStr">
        <is>
          <t>How does a double-entry ledger help ensure money is never lost?</t>
        </is>
      </c>
      <c r="F846" s="13" t="inlineStr">
        <is>
          <t>Every money movement is recorded as immutable entries that debit one account and credit another for the same amount, so the entries of every transaction sum to zero. Entries are append-only: corrections are new reversing entries, never updates. Balances are derived from entries, which gives a complete audit trail. The ledger lives in an ACID database such as Postgres with strong consistency, and any imbalance is immediately detectable.</t>
        </is>
      </c>
      <c r="G846" s="13" t="inlineStr"/>
    </row>
    <row r="847">
      <c r="A847" s="13" t="n">
        <v>71</v>
      </c>
      <c r="B847" s="24" t="n">
        <v>46363</v>
      </c>
      <c r="C847" s="13" t="inlineStr">
        <is>
          <t>HLD</t>
        </is>
      </c>
      <c r="D847" s="17" t="inlineStr">
        <is>
          <t>Advanced</t>
        </is>
      </c>
      <c r="E847" s="13" t="inlineStr">
        <is>
          <t>How do the order service and payment service stay consistent without a distributed transaction?</t>
        </is>
      </c>
      <c r="F847" s="13" t="inlineStr">
        <is>
          <t>Use a saga: the order service publishes PaymentRequested through an outbox, and the payment service processes it idempotently (keyed by order ID) and publishes PaymentSucceeded or PaymentFailed. On failure later in the flow, the compensation is a void or refund. Delivery is at-least-once and idempotency gives exactly-once effects. Verify webhook signatures, tokenise cards so you never store card numbers (PCI DSS), and keep secrets in Key Vault.</t>
        </is>
      </c>
      <c r="G847" s="13" t="inlineStr"/>
    </row>
    <row r="848">
      <c r="A848" s="13" t="n">
        <v>71</v>
      </c>
      <c r="B848" s="24" t="n">
        <v>46363</v>
      </c>
      <c r="C848" s="13" t="inlineStr">
        <is>
          <t>LLD</t>
        </is>
      </c>
      <c r="D848" s="18" t="inlineStr">
        <is>
          <t>Basic</t>
        </is>
      </c>
      <c r="E848" s="13" t="inlineStr">
        <is>
          <t>Why use the Strategy pattern for payment methods?</t>
        </is>
      </c>
      <c r="F848" s="13" t="inlineStr">
        <is>
          <t>Card, UPI, wallet and net banking all do the same job (pay an amount) with different logic, so each is a class implementing IPaymentStrategy. Checkout depends only on the interface, and adding a method such as BNPL means adding one class without touching checkout code, which follows the open/closed principle. Each strategy can also be unit-tested on its own.</t>
        </is>
      </c>
      <c r="G848" s="13" t="inlineStr"/>
    </row>
    <row r="849">
      <c r="A849" s="13" t="n">
        <v>71</v>
      </c>
      <c r="B849" s="24" t="n">
        <v>46363</v>
      </c>
      <c r="C849" s="13" t="inlineStr">
        <is>
          <t>LLD</t>
        </is>
      </c>
      <c r="D849" s="18" t="inlineStr">
        <is>
          <t>Basic</t>
        </is>
      </c>
      <c r="E849" s="13" t="inlineStr">
        <is>
          <t>How is the right payment strategy chosen at runtime?</t>
        </is>
      </c>
      <c r="F849" s="13" t="inlineStr">
        <is>
          <t>The request carries a PaymentMethod enum and a resolver maps it to a strategy. Options are a simple factory with a dictionary, or DI: register every implementation and build a lookup from IEnumerable&lt;IPaymentProcessor&gt;. Avoid a switch in the checkout service, because it has to be edited every time a new method is added.</t>
        </is>
      </c>
      <c r="G849" s="13" t="inlineStr"/>
    </row>
    <row r="850">
      <c r="A850" s="13" t="n">
        <v>71</v>
      </c>
      <c r="B850" s="24" t="n">
        <v>46363</v>
      </c>
      <c r="C850" s="13" t="inlineStr">
        <is>
          <t>LLD</t>
        </is>
      </c>
      <c r="D850" s="16" t="inlineStr">
        <is>
          <t>Intermediate</t>
        </is>
      </c>
      <c r="E850" s="13" t="inlineStr">
        <is>
          <t>Show DI-based selection of payment processors.</t>
        </is>
      </c>
      <c r="F850" s="13" t="inlineStr">
        <is>
          <t>Every processor declares which method it handles, and the service builds a lookup once.
```csharp
public interface IPaymentProcessor {
    PaymentMethod Method { get; }
    Task&lt;PaymentResult&gt; PayAsync(PaymentRequest req, CancellationToken ct);
}
public class PaymentService(IEnumerable&lt;IPaymentProcessor&gt; processors) {
    private readonly Dictionary&lt;PaymentMethod, IPaymentProcessor&gt; _map = processors.ToDictionary(p =&gt; p.Method);
    public Task&lt;PaymentResult&gt; PayAsync(PaymentRequest r, CancellationToken ct) =&gt;
        _map.TryGetValue(r.Method, out var p) ? p.PayAsync(r, ct)
            : throw new NotSupportedException($"Unsupported method {r.Method}");
}
```</t>
        </is>
      </c>
      <c r="G850" s="13" t="inlineStr"/>
    </row>
    <row r="851">
      <c r="A851" s="13" t="n">
        <v>71</v>
      </c>
      <c r="B851" s="24" t="n">
        <v>46363</v>
      </c>
      <c r="C851" s="13" t="inlineStr">
        <is>
          <t>LLD</t>
        </is>
      </c>
      <c r="D851" s="16" t="inlineStr">
        <is>
          <t>Intermediate</t>
        </is>
      </c>
      <c r="E851" s="13" t="inlineStr">
        <is>
          <t>How do you integrate several third-party gateways with different SDKs?</t>
        </is>
      </c>
      <c r="F851" s="13" t="inlineStr">
        <is>
          <t>Define your own IPaymentGateway interface (Authorize, Capture, Refund, GetStatus) and write an Adapter per provider, such as RazorpayGatewayAdapter and StripeGatewayAdapter, that converts your models to the SDK's. Strategies (card, UPI) then use whichever gateway is configured, so the payment method and the provider can change independently, which is close to the Bridge idea. Switching or failing over providers does not touch business code.</t>
        </is>
      </c>
      <c r="G851" s="13" t="inlineStr"/>
    </row>
    <row r="852">
      <c r="A852" s="13" t="n">
        <v>71</v>
      </c>
      <c r="B852" s="24" t="n">
        <v>46363</v>
      </c>
      <c r="C852" s="13" t="inlineStr">
        <is>
          <t>LLD</t>
        </is>
      </c>
      <c r="D852" s="17" t="inlineStr">
        <is>
          <t>Advanced</t>
        </is>
      </c>
      <c r="E852" s="13" t="inlineStr">
        <is>
          <t>How do you add idempotency, retries and logging without cluttering every strategy?</t>
        </is>
      </c>
      <c r="F852" s="13" t="inlineStr">
        <is>
          <t>Use Decorators that implement the same IPaymentProcessor and wrap the real one: an IdempotentProcessor checks and stores the idempotency key, a RetryingProcessor applies a Polly policy for transient errors only, and a LoggingProcessor adds structured logs and metrics. Register them with Scrutor's Decorate or manual composition. Alternatively, a Template Method base class can fix the flow (validate, process, record) while subclasses implement only the process step.</t>
        </is>
      </c>
      <c r="G852" s="13" t="inlineStr"/>
    </row>
    <row r="853">
      <c r="A853" s="13" t="n">
        <v>71</v>
      </c>
      <c r="B853" s="24" t="n">
        <v>46363</v>
      </c>
      <c r="C853" s="13" t="inlineStr">
        <is>
          <t>LLD</t>
        </is>
      </c>
      <c r="D853" s="17" t="inlineStr">
        <is>
          <t>Advanced</t>
        </is>
      </c>
      <c r="E853" s="13" t="inlineStr">
        <is>
          <t>How do you model money and payment state in C# code?</t>
        </is>
      </c>
      <c r="F853" s="13" t="inlineStr">
        <is>
          <t>Always use decimal, never double, and wrap it in an immutable Money value object (a record holding Amount and Currency) that refuses to add different currencies. The Payment entity exposes methods such as Authorize(), Capture() and Refund(amount) that check the current state, so there is no public status setter. It raises domain events on each change and uses optimistic concurrency (rowversion) so two captures cannot both succeed.</t>
        </is>
      </c>
      <c r="G853" s="13" t="inlineStr"/>
    </row>
    <row r="854">
      <c r="A854" s="13" t="n">
        <v>72</v>
      </c>
      <c r="B854" s="24" t="n">
        <v>46364</v>
      </c>
      <c r="C854" s="13" t="inlineStr">
        <is>
          <t>HLD</t>
        </is>
      </c>
      <c r="D854" s="18" t="inlineStr">
        <is>
          <t>Basic</t>
        </is>
      </c>
      <c r="E854" s="13" t="inlineStr">
        <is>
          <t>What are the core entities and APIs of a ticket booking system?</t>
        </is>
      </c>
      <c r="F854" s="13" t="inlineStr">
        <is>
          <t>Entities: Event or Show, Venue, Seat, ShowSeat (seat status and price for one show), Booking and Payment. APIs: GET /shows?city=&amp;date=, GET /shows/{id}/seats for the seat map, POST /holds to hold chosen seats, POST /bookings/{holdId}/confirm with payment, and DELETE /holds/{id} to release. Seat-map reads are frequent and can be cached briefly, while holds and bookings must be strongly consistent.</t>
        </is>
      </c>
      <c r="G854" s="13" t="inlineStr"/>
    </row>
    <row r="855">
      <c r="A855" s="13" t="n">
        <v>72</v>
      </c>
      <c r="B855" s="24" t="n">
        <v>46364</v>
      </c>
      <c r="C855" s="13" t="inlineStr">
        <is>
          <t>HLD</t>
        </is>
      </c>
      <c r="D855" s="18" t="inlineStr">
        <is>
          <t>Basic</t>
        </is>
      </c>
      <c r="E855" s="13" t="inlineStr">
        <is>
          <t>Why do you need temporary seat holds?</t>
        </is>
      </c>
      <c r="F855" s="13" t="inlineStr">
        <is>
          <t>Payment takes minutes, and without a hold two users could pay for the same seat. A hold reserves the seats for one user for a fixed time (for example 10 minutes); others see them as unavailable. If payment does not finish in time, the hold expires and the seats automatically return to the pool.</t>
        </is>
      </c>
      <c r="G855" s="13" t="inlineStr"/>
    </row>
    <row r="856">
      <c r="A856" s="13" t="n">
        <v>72</v>
      </c>
      <c r="B856" s="24" t="n">
        <v>46364</v>
      </c>
      <c r="C856" s="13" t="inlineStr">
        <is>
          <t>HLD</t>
        </is>
      </c>
      <c r="D856" s="16" t="inlineStr">
        <is>
          <t>Intermediate</t>
        </is>
      </c>
      <c r="E856" s="13" t="inlineStr">
        <is>
          <t>How do you lock seats with an expiry?</t>
        </is>
      </c>
      <c r="F856" s="13" t="inlineStr">
        <is>
          <t>In the database: UPDATE show_seat SET status = 'HELD', held_by = @user, hold_expires_at = now() + 10 min WHERE show_id = @s AND seat_id IN (...) AND (status = 'AVAILABLE' OR (status = 'HELD' AND hold_expires_at &lt; now())), inside a transaction, and commit only if the row count equals the number of seats requested. Alternatively use Redis SET seat:{show}:{seat} {user} NX EX 600 per seat, with a Lua script for all-or-nothing. Either way the DB stays the source of truth at confirmation.</t>
        </is>
      </c>
      <c r="G856" s="13" t="inlineStr"/>
    </row>
    <row r="857">
      <c r="A857" s="13" t="n">
        <v>72</v>
      </c>
      <c r="B857" s="24" t="n">
        <v>46364</v>
      </c>
      <c r="C857" s="13" t="inlineStr">
        <is>
          <t>HLD</t>
        </is>
      </c>
      <c r="D857" s="16" t="inlineStr">
        <is>
          <t>Intermediate</t>
        </is>
      </c>
      <c r="E857" s="13" t="inlineStr">
        <is>
          <t>Pessimistic vs optimistic locking for seats: which do you choose?</t>
        </is>
      </c>
      <c r="F857" s="13" t="inlineStr">
        <is>
          <t>Pessimistic locking (SELECT ... FOR UPDATE) is simple and correct but blocks other transactions and suffers under heavy contention. Optimistic locking (a version column, retry on conflict) is cheap when conflicts are rare. For seats, a single conditional UPDATE acts as an atomic compare-and-set and is usually the best choice. Avoid distributed locks when one database row can enforce the rule.</t>
        </is>
      </c>
      <c r="G857" s="13" t="inlineStr"/>
    </row>
    <row r="858">
      <c r="A858" s="13" t="n">
        <v>72</v>
      </c>
      <c r="B858" s="24" t="n">
        <v>46364</v>
      </c>
      <c r="C858" s="13" t="inlineStr">
        <is>
          <t>HLD</t>
        </is>
      </c>
      <c r="D858" s="17" t="inlineStr">
        <is>
          <t>Advanced</t>
        </is>
      </c>
      <c r="E858" s="13" t="inlineStr">
        <is>
          <t>How do you handle a flash sale with 1M users competing for 50k seats?</t>
        </is>
      </c>
      <c r="F858" s="13" t="inlineStr">
        <is>
          <t>Put a virtual waiting room in front: users get queue tokens and are admitted at a rate the booking service can handle
- Rate-limit per user and per IP, and block bots
- Serve static content and seat maps from the CDN or cache
- Keep available counts in Redis with atomic decrements, and fail fast when sold out
- Pre-scale before the sale opens
- Keep the DB write path lean: conditional updates only, with confirmation emails sent asynchronously</t>
        </is>
      </c>
      <c r="G858" s="13" t="inlineStr"/>
    </row>
    <row r="859">
      <c r="A859" s="13" t="n">
        <v>72</v>
      </c>
      <c r="B859" s="24" t="n">
        <v>46364</v>
      </c>
      <c r="C859" s="13" t="inlineStr">
        <is>
          <t>HLD</t>
        </is>
      </c>
      <c r="D859" s="17" t="inlineStr">
        <is>
          <t>Advanced</t>
        </is>
      </c>
      <c r="E859" s="13" t="inlineStr">
        <is>
          <t>Payment succeeds after the hold has expired and the seat was sold to someone else. How do you prevent double booking?</t>
        </is>
      </c>
      <c r="F859" s="13" t="inlineStr">
        <is>
          <t>Confirmation is a conditional update that succeeds only if the seats are still held by this booking. If it fails, the booking is marked failed and an automatic refund is triggered. Confirmation is idempotent (keyed by booking ID), so provider webhooks and retries are safe. As a last line of defence, a unique constraint on (show_id, seat_id) in the booked-seats table makes a double booking impossible, and reconciliation catches paid-but-unbooked cases.</t>
        </is>
      </c>
      <c r="G859" s="13" t="inlineStr"/>
    </row>
    <row r="860">
      <c r="A860" s="13" t="n">
        <v>72</v>
      </c>
      <c r="B860" s="24" t="n">
        <v>46364</v>
      </c>
      <c r="C860" s="13" t="inlineStr">
        <is>
          <t>LLD</t>
        </is>
      </c>
      <c r="D860" s="18" t="inlineStr">
        <is>
          <t>Basic</t>
        </is>
      </c>
      <c r="E860" s="13" t="inlineStr">
        <is>
          <t>BookMyShow mock: which classes do you define?</t>
        </is>
      </c>
      <c r="F860" s="13" t="inlineStr">
        <is>
          <t>City, Cinema (Theatre), Screen, Seat (row, number, SeatType), Movie, Show (movie, screen, start time), ShowSeat (seat, show, status, price), Booking, User and Payment. Services: ShowService (search), BookingService (hold and confirm), PaymentService and ISeatLockProvider. Keep booking logic out of the entity classes.</t>
        </is>
      </c>
      <c r="G860" s="13" t="inlineStr"/>
    </row>
    <row r="861">
      <c r="A861" s="13" t="n">
        <v>72</v>
      </c>
      <c r="B861" s="24" t="n">
        <v>46364</v>
      </c>
      <c r="C861" s="13" t="inlineStr">
        <is>
          <t>LLD</t>
        </is>
      </c>
      <c r="D861" s="18" t="inlineStr">
        <is>
          <t>Basic</t>
        </is>
      </c>
      <c r="E861" s="13" t="inlineStr">
        <is>
          <t>Why separate Seat from ShowSeat?</t>
        </is>
      </c>
      <c r="F861" s="13" t="inlineStr">
        <is>
          <t>A Seat is the physical, fixed layout of a screen (row, number, type). A ShowSeat is that seat's availability and price for one specific show. The same seat appears in many shows a day with different statuses, so merging them would mean copying the layout or overwriting availability between shows.</t>
        </is>
      </c>
      <c r="G861" s="13" t="inlineStr"/>
    </row>
    <row r="862">
      <c r="A862" s="13" t="n">
        <v>72</v>
      </c>
      <c r="B862" s="24" t="n">
        <v>46364</v>
      </c>
      <c r="C862" s="13" t="inlineStr">
        <is>
          <t>LLD</t>
        </is>
      </c>
      <c r="D862" s="16" t="inlineStr">
        <is>
          <t>Intermediate</t>
        </is>
      </c>
      <c r="E862" s="13" t="inlineStr">
        <is>
          <t>Design a seat lock provider with expiry.</t>
        </is>
      </c>
      <c r="F862" s="13" t="inlineStr">
        <is>
          <t>Holds are all-or-nothing. An in-memory implementation uses a dictionary from (showId, seatId) to (userId, expiresAt) under a lock, and a Redis implementation uses SET NX EX for distributed deployments.
```csharp
public interface ISeatLockProvider {
    bool TryLock(Guid showId, IReadOnlyList&lt;int&gt; seatIds, string userId, TimeSpan ttl);
    void Unlock(Guid showId, IReadOnlyList&lt;int&gt; seatIds, string userId);
    bool IsLockedBy(Guid showId, int seatId, string userId);
}
```</t>
        </is>
      </c>
      <c r="G862" s="13" t="inlineStr"/>
    </row>
    <row r="863">
      <c r="A863" s="13" t="n">
        <v>72</v>
      </c>
      <c r="B863" s="24" t="n">
        <v>46364</v>
      </c>
      <c r="C863" s="13" t="inlineStr">
        <is>
          <t>LLD</t>
        </is>
      </c>
      <c r="D863" s="16" t="inlineStr">
        <is>
          <t>Intermediate</t>
        </is>
      </c>
      <c r="E863" s="13" t="inlineStr">
        <is>
          <t>Walk through the booking flow and the booking states.</t>
        </is>
      </c>
      <c r="F863" s="13" t="inlineStr">
        <is>
          <t>The user picks seats, then TryLock holds them, and a Booking is created as Pending with an expiry time. The user pays, and on success BookingService checks that the locks are still owned by the user, marks the ShowSeats Booked and moves the booking to Confirmed. On payment failure or timeout the booking moves to Cancelled or Expired and the locks are released. States: Pending, then Confirmed, Cancelled or Expired.</t>
        </is>
      </c>
      <c r="G863" s="13" t="inlineStr"/>
    </row>
    <row r="864">
      <c r="A864" s="13" t="n">
        <v>72</v>
      </c>
      <c r="B864" s="24" t="n">
        <v>46364</v>
      </c>
      <c r="C864" s="13" t="inlineStr">
        <is>
          <t>LLD</t>
        </is>
      </c>
      <c r="D864" s="17" t="inlineStr">
        <is>
          <t>Advanced</t>
        </is>
      </c>
      <c r="E864" s="13" t="inlineStr">
        <is>
          <t>How do you design pricing for seat types, weekends and coupons?</t>
        </is>
      </c>
      <c r="F864" s="13" t="inlineStr">
        <is>
          <t>Use IPricingStrategy for the base price, varying by seat type (recliner, premium, regular), show time and weekday or weekend. Layer Decorators on top for convenience fee, GST and coupon discounts, so each rule is its own class and the order of application is explicit. Keep amounts as decimal in a Money value object.</t>
        </is>
      </c>
      <c r="G864" s="13" t="inlineStr"/>
    </row>
    <row r="865">
      <c r="A865" s="13" t="n">
        <v>72</v>
      </c>
      <c r="B865" s="24" t="n">
        <v>46364</v>
      </c>
      <c r="C865" s="13" t="inlineStr">
        <is>
          <t>LLD</t>
        </is>
      </c>
      <c r="D865" s="17" t="inlineStr">
        <is>
          <t>Advanced</t>
        </is>
      </c>
      <c r="E865" s="13" t="inlineStr">
        <is>
          <t>How do you make the in-memory lock provider correct for multi-seat, concurrent requests?</t>
        </is>
      </c>
      <c r="F865" s="13" t="inlineStr">
        <is>
          <t>Take one lock per show (a ConcurrentDictionary&lt;Guid, object&gt; of lock objects), then inside it check that every requested seat is free or its hold has expired, and only then assign all of them, so a request gets all its seats or none. If you use per-seat locks instead, acquire them in sorted seat-ID order to avoid deadlocks. Expiry can be checked lazily on access by comparing timestamps, so no timers are needed; a background sweep only frees memory.</t>
        </is>
      </c>
      <c r="G865" s="13" t="inlineStr"/>
    </row>
    <row r="866">
      <c r="A866" s="13" t="n">
        <v>73</v>
      </c>
      <c r="B866" s="24" t="n">
        <v>46365</v>
      </c>
      <c r="C866" s="13" t="inlineStr">
        <is>
          <t>HLD</t>
        </is>
      </c>
      <c r="D866" s="18" t="inlineStr">
        <is>
          <t>Basic</t>
        </is>
      </c>
      <c r="E866" s="13" t="inlineStr">
        <is>
          <t>URL shortener mock: which requirements and estimates do you state?</t>
        </is>
      </c>
      <c r="F866" s="13" t="inlineStr">
        <is>
          <t>Functional: shorten a URL, redirect, optional custom alias and expiry, and basic click analytics. Estimates: 100M new URLs a month is about 40 writes/s; at 100:1 reads that is about 4k redirects/s on average and maybe 20k at peak. Five years is about 6B URLs x ~500 bytes = ~3 TB, which fits a sharded store easily; the real challenge is redirect latency.</t>
        </is>
      </c>
      <c r="G866" s="13" t="inlineStr"/>
    </row>
    <row r="867">
      <c r="A867" s="13" t="n">
        <v>73</v>
      </c>
      <c r="B867" s="24" t="n">
        <v>46365</v>
      </c>
      <c r="C867" s="13" t="inlineStr">
        <is>
          <t>HLD</t>
        </is>
      </c>
      <c r="D867" s="18" t="inlineStr">
        <is>
          <t>Basic</t>
        </is>
      </c>
      <c r="E867" s="13" t="inlineStr">
        <is>
          <t>What are the APIs, and should the redirect be a 301 or a 302?</t>
        </is>
      </c>
      <c r="F867" s="13" t="inlineStr">
        <is>
          <t>POST /api/urls {longUrl, customAlias?, expiresAt?} returns the short URL, and GET /{code} redirects. A 301 (permanent) is cached by browsers, which cuts server load but means you stop seeing repeat clicks for analytics. A 302 (or 307) sends every click through your servers, which keeps analytics accurate and lets you change or expire links. Most shorteners with analytics use 302.</t>
        </is>
      </c>
      <c r="G867" s="13" t="inlineStr"/>
    </row>
    <row r="868">
      <c r="A868" s="13" t="n">
        <v>73</v>
      </c>
      <c r="B868" s="24" t="n">
        <v>46365</v>
      </c>
      <c r="C868" s="13" t="inlineStr">
        <is>
          <t>HLD</t>
        </is>
      </c>
      <c r="D868" s="16" t="inlineStr">
        <is>
          <t>Intermediate</t>
        </is>
      </c>
      <c r="E868" s="13" t="inlineStr">
        <is>
          <t>How do you generate short codes?</t>
        </is>
      </c>
      <c r="F868" s="13" t="inlineStr">
        <is>
          <t>Base62-encode a unique numeric ID: 7 characters give 62^7, about 3.5 trillion codes. IDs come from a DB sequence, a Snowflake-style generator, or a ticket server that hands each app server a range (for example 1M IDs at a time), so there is no coordination per request. Hashing (MD5 or SHA-256 truncated) needs collision checks and retries. Sequential codes can be guessed, so shuffle or encrypt the ID if that matters.</t>
        </is>
      </c>
      <c r="G868" s="13" t="inlineStr"/>
    </row>
    <row r="869">
      <c r="A869" s="13" t="n">
        <v>73</v>
      </c>
      <c r="B869" s="24" t="n">
        <v>46365</v>
      </c>
      <c r="C869" s="13" t="inlineStr">
        <is>
          <t>HLD</t>
        </is>
      </c>
      <c r="D869" s="16" t="inlineStr">
        <is>
          <t>Intermediate</t>
        </is>
      </c>
      <c r="E869" s="13" t="inlineStr">
        <is>
          <t>What data model and database would you pick?</t>
        </is>
      </c>
      <c r="F869" s="13" t="inlineStr">
        <is>
          <t>One main table: code (primary key), long_url, user_id, created_at and expires_at, plus an optional table for custom aliases. The access pattern is a pure key lookup, so a key-value or NoSQL store (DynamoDB, Cassandra, Cosmos DB) partitioned by code fits well, and Postgres sharded by code also works. Put Redis in front with LRU eviction, because a small share of links gets most of the traffic.</t>
        </is>
      </c>
      <c r="G869" s="13" t="inlineStr"/>
    </row>
    <row r="870">
      <c r="A870" s="13" t="n">
        <v>73</v>
      </c>
      <c r="B870" s="24" t="n">
        <v>46365</v>
      </c>
      <c r="C870" s="13" t="inlineStr">
        <is>
          <t>HLD</t>
        </is>
      </c>
      <c r="D870" s="17" t="inlineStr">
        <is>
          <t>Advanced</t>
        </is>
      </c>
      <c r="E870" s="13" t="inlineStr">
        <is>
          <t>How do you scale redirects and collect analytics?</t>
        </is>
      </c>
      <c r="F870" s="13" t="inlineStr">
        <is>
          <t>Serve redirects from Redis with read replicas, and cache very popular codes at CDN or edge functions, keeping the TTL short if links can expire. Never write to the DB synchronously on a click: publish click events (code, timestamp, referrer, country) to Kafka or Event Hubs and aggregate them in a stream job into per-day counts. Stateless redirect servers scale horizontally behind the load balancer.</t>
        </is>
      </c>
      <c r="G870" s="13" t="inlineStr"/>
    </row>
    <row r="871">
      <c r="A871" s="13" t="n">
        <v>73</v>
      </c>
      <c r="B871" s="24" t="n">
        <v>46365</v>
      </c>
      <c r="C871" s="13" t="inlineStr">
        <is>
          <t>HLD</t>
        </is>
      </c>
      <c r="D871" s="17" t="inlineStr">
        <is>
          <t>Advanced</t>
        </is>
      </c>
      <c r="E871" s="13" t="inlineStr">
        <is>
          <t>Which follow-ups should you expect, and what does a 5/5 answer per section look like?</t>
        </is>
      </c>
      <c r="F871" s="13" t="inlineStr">
        <is>
          <t>Custom alias already taken: a unique constraint and a clear error
- The same long URL shortened twice: optional dedupe index on the URL hash, per user
- Expired links: check lazily on read, plus a batch cleanup job
- Malicious URLs: rate limits, a Safe Browsing check, abuse reporting
- A hot key: cache replicas. A 5/5 answer uses numbers to drive decisions, states trade-offs out loud, and covers failures</t>
        </is>
      </c>
      <c r="G871" s="13" t="inlineStr"/>
    </row>
    <row r="872">
      <c r="A872" s="13" t="n">
        <v>73</v>
      </c>
      <c r="B872" s="24" t="n">
        <v>46365</v>
      </c>
      <c r="C872" s="13" t="inlineStr">
        <is>
          <t>LLD</t>
        </is>
      </c>
      <c r="D872" s="18" t="inlineStr">
        <is>
          <t>Basic</t>
        </is>
      </c>
      <c r="E872" s="13" t="inlineStr">
        <is>
          <t>Splitwise mock: which classes do you design?</t>
        </is>
      </c>
      <c r="F872" s="13" t="inlineStr">
        <is>
          <t>User, Group (members, expenses), Expense (id, description, amount, paidBy, splits, createdAt), Split (userId, amount), an ISplitStrategy with EqualSplit, ExactSplit and PercentSplit, a BalanceSheet, and ExpenseService and SettlementService. Keep money as decimal and pass IDs between aggregates.</t>
        </is>
      </c>
      <c r="G872" s="13" t="inlineStr"/>
    </row>
    <row r="873">
      <c r="A873" s="13" t="n">
        <v>73</v>
      </c>
      <c r="B873" s="24" t="n">
        <v>46365</v>
      </c>
      <c r="C873" s="13" t="inlineStr">
        <is>
          <t>LLD</t>
        </is>
      </c>
      <c r="D873" s="18" t="inlineStr">
        <is>
          <t>Basic</t>
        </is>
      </c>
      <c r="E873" s="13" t="inlineStr">
        <is>
          <t>What split types exist and how do you validate each one?</t>
        </is>
      </c>
      <c r="F873" s="13" t="inlineStr">
        <is>
          <t>Equal: total divided by the number of people, with the rounding remainder assigned deterministically
- Exact: the given amounts must sum exactly to the total
- Percent: the percentages must sum to 100, and the resulting amounts are rounded with the remainder handled
- Shares (optional): split in proportion to share counts
- Each strategy validates its own input and throws a clear domain exception</t>
        </is>
      </c>
      <c r="G873" s="13" t="inlineStr"/>
    </row>
    <row r="874">
      <c r="A874" s="13" t="n">
        <v>73</v>
      </c>
      <c r="B874" s="24" t="n">
        <v>46365</v>
      </c>
      <c r="C874" s="13" t="inlineStr">
        <is>
          <t>LLD</t>
        </is>
      </c>
      <c r="D874" s="16" t="inlineStr">
        <is>
          <t>Intermediate</t>
        </is>
      </c>
      <c r="E874" s="13" t="inlineStr">
        <is>
          <t>Implement an equal split strategy that handles rounding.</t>
        </is>
      </c>
      <c r="F874" s="13" t="inlineStr">
        <is>
          <t>Round down to paise and give the leftover to one participant, so the splits always add up exactly to the total.
```csharp
public interface ISplitStrategy {
    Dictionary&lt;string, decimal&gt; Split(decimal total, IReadOnlyList&lt;string&gt; users, IReadOnlyList&lt;decimal&gt;? values);
}
public class EqualSplit : ISplitStrategy {
    public Dictionary&lt;string, decimal&gt; Split(decimal total, IReadOnlyList&lt;string&gt; users, IReadOnlyList&lt;decimal&gt;? values) {
        var share = Math.Round(total / users.Count, 2, MidpointRounding.ToZero);
        var result = users.ToDictionary(u =&gt; u, u =&gt; share);
        result[users[0]] += total - share * users.Count;
        return result;
    }
}
```</t>
        </is>
      </c>
      <c r="G874" s="13" t="inlineStr"/>
    </row>
    <row r="875">
      <c r="A875" s="13" t="n">
        <v>73</v>
      </c>
      <c r="B875" s="24" t="n">
        <v>46365</v>
      </c>
      <c r="C875" s="13" t="inlineStr">
        <is>
          <t>LLD</t>
        </is>
      </c>
      <c r="D875" s="16" t="inlineStr">
        <is>
          <t>Intermediate</t>
        </is>
      </c>
      <c r="E875" s="13" t="inlineStr">
        <is>
          <t>How do you track who owes whom?</t>
        </is>
      </c>
      <c r="F875" s="13" t="inlineStr">
        <is>
          <t>For each expense, every participant except the payer owes the payer their share. Store either pairwise balances in a Dictionary&lt;(string From, string To), decimal&gt;, netting A-owes-B against B-owes-A, or a single net balance per user (positive means they are owed, negative means they owe). Net balances are simpler to update and are what the simplify-debts step needs.</t>
        </is>
      </c>
      <c r="G875" s="13" t="inlineStr"/>
    </row>
    <row r="876">
      <c r="A876" s="13" t="n">
        <v>73</v>
      </c>
      <c r="B876" s="24" t="n">
        <v>46365</v>
      </c>
      <c r="C876" s="13" t="inlineStr">
        <is>
          <t>LLD</t>
        </is>
      </c>
      <c r="D876" s="17" t="inlineStr">
        <is>
          <t>Advanced</t>
        </is>
      </c>
      <c r="E876" s="13" t="inlineStr">
        <is>
          <t>How do you simplify debts to minimise the number of transactions?</t>
        </is>
      </c>
      <c r="F876" s="13" t="inlineStr">
        <is>
          <t>Compute each user's net balance, then put creditors in a max-heap and debtors in a max-heap by absolute amount. Repeatedly match the largest creditor with the largest debtor, settle the smaller of the two amounts, and push back whoever still has a balance. This takes O(n log n) and needs at most n-1 payments. Finding the true minimum is NP-hard, so say that the greedy approach is the practical choice.</t>
        </is>
      </c>
      <c r="G876" s="13" t="inlineStr"/>
    </row>
    <row r="877">
      <c r="A877" s="13" t="n">
        <v>73</v>
      </c>
      <c r="B877" s="24" t="n">
        <v>46365</v>
      </c>
      <c r="C877" s="13" t="inlineStr">
        <is>
          <t>LLD</t>
        </is>
      </c>
      <c r="D877" s="17" t="inlineStr">
        <is>
          <t>Advanced</t>
        </is>
      </c>
      <c r="E877" s="13" t="inlineStr">
        <is>
          <t>How do you handle expense edits and deletes, new split types and concurrent updates?</t>
        </is>
      </c>
      <c r="F877" s="13" t="inlineStr">
        <is>
          <t>Treat expenses as immutable: an edit reverses the old expense's effect on balances and applies the new one, and history is kept for audit (an event log). New split types are new ISplitStrategy classes registered in a factory or DI. Concurrent adds to the same group are serialised with a per-group lock in memory, or with DB transactions and optimistic concurrency on the group's balance rows once persisted.</t>
        </is>
      </c>
      <c r="G877" s="13" t="inlineStr"/>
    </row>
    <row r="878">
      <c r="A878" s="13" t="n">
        <v>74</v>
      </c>
      <c r="B878" s="24" t="n">
        <v>46366</v>
      </c>
      <c r="C878" s="13" t="inlineStr">
        <is>
          <t>HLD</t>
        </is>
      </c>
      <c r="D878" s="18" t="inlineStr">
        <is>
          <t>Basic</t>
        </is>
      </c>
      <c r="E878" s="13" t="inlineStr">
        <is>
          <t>How do you structure a 5-minute project story?</t>
        </is>
      </c>
      <c r="F878" s="13" t="inlineStr">
        <is>
          <t>Problem (about 1 min): who had what pain, and at what scale
- Design (about 2 min): components and data flow, and why this design
- Your part (about 1 min): what you owned and decided, using 'I', not 'we'
- Impact (about 1 min): numbers, plus one lesson you learned
- Record yourself and cut anything that does not support these four points</t>
        </is>
      </c>
      <c r="G878" s="13" t="inlineStr"/>
    </row>
    <row r="879">
      <c r="A879" s="13" t="n">
        <v>74</v>
      </c>
      <c r="B879" s="24" t="n">
        <v>46366</v>
      </c>
      <c r="C879" s="13" t="inlineStr">
        <is>
          <t>HLD</t>
        </is>
      </c>
      <c r="D879" s="18" t="inlineStr">
        <is>
          <t>Basic</t>
        </is>
      </c>
      <c r="E879" s="13" t="inlineStr">
        <is>
          <t>How do you present impact numbers credibly?</t>
        </is>
      </c>
      <c r="F879" s="13" t="inlineStr">
        <is>
          <t>Use before-and-after metrics: p95 latency from 800 ms to 150 ms, throughput from 2k to 10k events/s, cloud cost down 30%, incidents per month from 6 to 1. If you do not know the exact figure, give an approximate one and explain how it was measured (dashboards, load tests). Link each number to a business outcome such as faster reports, fewer SLA breaches or lower cost.</t>
        </is>
      </c>
      <c r="G879" s="13" t="inlineStr"/>
    </row>
    <row r="880">
      <c r="A880" s="13" t="n">
        <v>74</v>
      </c>
      <c r="B880" s="24" t="n">
        <v>46366</v>
      </c>
      <c r="C880" s="13" t="inlineStr">
        <is>
          <t>HLD</t>
        </is>
      </c>
      <c r="D880" s="16" t="inlineStr">
        <is>
          <t>Intermediate</t>
        </is>
      </c>
      <c r="E880" s="13" t="inlineStr">
        <is>
          <t>What was the hardest technical challenge in this project?</t>
        </is>
      </c>
      <c r="F880" s="13" t="inlineStr">
        <is>
          <t>Answer with STAR and a real technical problem, such as DB lock contention under load, duplicate events after retries, or a memory leak. Explain how you diagnosed it, the options you considered and why you chose one (the trade-off), and the measurable result. Finish with what you would do differently, because interviewers look for reflection and not only success.</t>
        </is>
      </c>
      <c r="G880" s="13" t="inlineStr"/>
    </row>
    <row r="881">
      <c r="A881" s="13" t="n">
        <v>74</v>
      </c>
      <c r="B881" s="24" t="n">
        <v>46366</v>
      </c>
      <c r="C881" s="13" t="inlineStr">
        <is>
          <t>HLD</t>
        </is>
      </c>
      <c r="D881" s="16" t="inlineStr">
        <is>
          <t>Intermediate</t>
        </is>
      </c>
      <c r="E881" s="13" t="inlineStr">
        <is>
          <t>Why did you choose technology X over Y?</t>
        </is>
      </c>
      <c r="F881" s="13" t="inlineStr">
        <is>
          <t>Show that you knew the alternatives and the constraints: for example Azure Service Bus over Kafka because you needed per-message retries, DLQs and sessions at moderate throughput, and the team was already on Azure with no Kafka operations experience. Mention cost, team skills, managed versus self-hosted, ordering and throughput needs. End with what would make you choose differently, such as needing to replay millions of events per second, which points to Kafka.</t>
        </is>
      </c>
      <c r="G881" s="13" t="inlineStr"/>
    </row>
    <row r="882">
      <c r="A882" s="13" t="n">
        <v>74</v>
      </c>
      <c r="B882" s="24" t="n">
        <v>46366</v>
      </c>
      <c r="C882" s="13" t="inlineStr">
        <is>
          <t>HLD</t>
        </is>
      </c>
      <c r="D882" s="17" t="inlineStr">
        <is>
          <t>Advanced</t>
        </is>
      </c>
      <c r="E882" s="13" t="inlineStr">
        <is>
          <t>What are the limitations or technical debt in your design, and how would you prioritise fixing them?</t>
        </is>
      </c>
      <c r="F882" s="13" t="inlineStr">
        <is>
          <t>Be honest: name 2-3 real weaknesses, such as a single database becoming a bottleneck, missing idempotency in one consumer, or weak test coverage in a critical module. Prioritise by risk and impact: data loss and correctness issues first, then reliability, then performance and cost. Explain how you would fix each step by step and what metrics would tell you it is time to act.</t>
        </is>
      </c>
      <c r="G882" s="13" t="inlineStr"/>
    </row>
    <row r="883">
      <c r="A883" s="13" t="n">
        <v>74</v>
      </c>
      <c r="B883" s="24" t="n">
        <v>46366</v>
      </c>
      <c r="C883" s="13" t="inlineStr">
        <is>
          <t>HLD</t>
        </is>
      </c>
      <c r="D883" s="17" t="inlineStr">
        <is>
          <t>Advanced</t>
        </is>
      </c>
      <c r="E883" s="13" t="inlineStr">
        <is>
          <t>How did you make the system reliable and observable?</t>
        </is>
      </c>
      <c r="F883" s="13" t="inlineStr">
        <is>
          <t>Structured logging with correlation IDs across services, metrics and distributed tracing (Application Insights or OpenTelemetry), dashboards, and alerts on SLIs such as error rate, p95 latency and queue lag. For resilience: retries with backoff, circuit breakers and timeouts (Polly), health checks and graceful degradation. Back it up with an example: an alert that caught a problem within minutes, and what you changed afterwards.</t>
        </is>
      </c>
      <c r="G883" s="13" t="inlineStr"/>
    </row>
    <row r="884">
      <c r="A884" s="13" t="n">
        <v>74</v>
      </c>
      <c r="B884" s="24" t="n">
        <v>46366</v>
      </c>
      <c r="C884" s="13" t="inlineStr">
        <is>
          <t>LLD</t>
        </is>
      </c>
      <c r="D884" s="18" t="inlineStr">
        <is>
          <t>Basic</t>
        </is>
      </c>
      <c r="E884" s="13" t="inlineStr">
        <is>
          <t>How is your codebase structured, and why?</t>
        </is>
      </c>
      <c r="F884" s="13" t="inlineStr">
        <is>
          <t>A typical answer is layered or Clean Architecture: an API layer (controllers or minimal APIs), an Application layer (use cases and services), a Domain layer (entities and rules), and Infrastructure (EF Core, messaging, external clients), with dependencies pointing inward. Explain the benefit (domain logic testable without the DB or HTTP) and the cost (more projects and mapping). Mention vertical slices as an alternative if features are mostly independent.</t>
        </is>
      </c>
      <c r="G884" s="13" t="inlineStr"/>
    </row>
    <row r="885">
      <c r="A885" s="13" t="n">
        <v>74</v>
      </c>
      <c r="B885" s="24" t="n">
        <v>46366</v>
      </c>
      <c r="C885" s="13" t="inlineStr">
        <is>
          <t>LLD</t>
        </is>
      </c>
      <c r="D885" s="18" t="inlineStr">
        <is>
          <t>Basic</t>
        </is>
      </c>
      <c r="E885" s="13" t="inlineStr">
        <is>
          <t>How do you use dependency injection and service lifetimes in your project?</t>
        </is>
      </c>
      <c r="F885" s="13" t="inlineStr">
        <is>
          <t>Transient: a new instance each time, for lightweight stateless services
- Scoped: one per request, for example DbContext and unit-of-work services
- Singleton: one per app, for caches, configuration and HttpClient handlers (via IHttpClientFactory)
- Avoid captive dependencies: a singleton must never hold a scoped service such as DbContext; ASP.NET Core scope validation catches this in Development</t>
        </is>
      </c>
      <c r="G885" s="13" t="inlineStr"/>
    </row>
    <row r="886">
      <c r="A886" s="13" t="n">
        <v>74</v>
      </c>
      <c r="B886" s="24" t="n">
        <v>46366</v>
      </c>
      <c r="C886" s="13" t="inlineStr">
        <is>
          <t>LLD</t>
        </is>
      </c>
      <c r="D886" s="16" t="inlineStr">
        <is>
          <t>Intermediate</t>
        </is>
      </c>
      <c r="E886" s="13" t="inlineStr">
        <is>
          <t>Do you use the repository pattern with EF Core? Why or why not?</t>
        </is>
      </c>
      <c r="F886" s="13" t="inlineStr">
        <is>
          <t>DbContext is already a unit of work and each DbSet is already a repository, so a generic IRepository&lt;T&gt; over it usually adds little and often leaks IQueryable. It is justified for aggregate-focused repositories that hide complex queries, enforce loading of the whole aggregate, or keep the domain layer free of EF Core. Give the reason your project took the approach it did, including testing, where the EF Core in-memory provider or Testcontainers is used.</t>
        </is>
      </c>
      <c r="G886" s="13" t="inlineStr"/>
    </row>
    <row r="887">
      <c r="A887" s="13" t="n">
        <v>74</v>
      </c>
      <c r="B887" s="24" t="n">
        <v>46366</v>
      </c>
      <c r="C887" s="13" t="inlineStr">
        <is>
          <t>LLD</t>
        </is>
      </c>
      <c r="D887" s="16" t="inlineStr">
        <is>
          <t>Intermediate</t>
        </is>
      </c>
      <c r="E887" s="13" t="inlineStr">
        <is>
          <t>Which design patterns does your codebase use, and where?</t>
        </is>
      </c>
      <c r="F887" s="13" t="inlineStr">
        <is>
          <t>Give concrete examples you can point to: Strategy for notification or pricing providers, Decorator for a caching repository or Polly policies, Mediator through MediatR for commands and queries, the Options pattern for typed configuration, Factory through IHttpClientFactory, and Chain of Responsibility through ASP.NET Core middleware and pipeline behaviours. Explain the problem each one solved; naming a pattern without a reason is a red flag.</t>
        </is>
      </c>
      <c r="G887" s="13" t="inlineStr"/>
    </row>
    <row r="888">
      <c r="A888" s="13" t="n">
        <v>74</v>
      </c>
      <c r="B888" s="24" t="n">
        <v>46366</v>
      </c>
      <c r="C888" s="13" t="inlineStr">
        <is>
          <t>LLD</t>
        </is>
      </c>
      <c r="D888" s="17" t="inlineStr">
        <is>
          <t>Advanced</t>
        </is>
      </c>
      <c r="E888" s="13" t="inlineStr">
        <is>
          <t>How do you handle errors and validation across layers?</t>
        </is>
      </c>
      <c r="F888" s="13" t="inlineStr">
        <is>
          <t>Validate input at the edge (FluentValidation or data annotations) and return 400 with ProblemDetails. Protect domain invariants inside entities, so invalid states cannot be created. Use exceptions for truly exceptional cases and a Result type for expected business failures, and have global exception-handling middleware (IExceptionHandler in .NET 8) log with a correlation ID and return safe messages without stack traces.</t>
        </is>
      </c>
      <c r="G888" s="13" t="inlineStr"/>
    </row>
    <row r="889">
      <c r="A889" s="13" t="n">
        <v>74</v>
      </c>
      <c r="B889" s="24" t="n">
        <v>46366</v>
      </c>
      <c r="C889" s="13" t="inlineStr">
        <is>
          <t>LLD</t>
        </is>
      </c>
      <c r="D889" s="17" t="inlineStr">
        <is>
          <t>Advanced</t>
        </is>
      </c>
      <c r="E889" s="13" t="inlineStr">
        <is>
          <t>What would you refactor in your codebase, and how would you do it safely?</t>
        </is>
      </c>
      <c r="F889" s="13" t="inlineStr">
        <is>
          <t>Name real smells: a god service with thousands of lines, business logic duplicated across controllers, an anaemic domain model, or static helpers that make testing impossible. Make it safe: add characterisation tests first, refactor in small steps behind the same interface (strangler-style), use feature flags for risky changes, and ship frequently. Measure the result, for example fewer bugs in that area or faster changes.</t>
        </is>
      </c>
      <c r="G889" s="13" t="inlineStr"/>
    </row>
    <row r="890">
      <c r="A890" s="13" t="n">
        <v>75</v>
      </c>
      <c r="B890" s="24" t="n">
        <v>46367</v>
      </c>
      <c r="C890" s="13" t="inlineStr">
        <is>
          <t>HLD</t>
        </is>
      </c>
      <c r="D890" s="18" t="inlineStr">
        <is>
          <t>Basic</t>
        </is>
      </c>
      <c r="E890" s="13" t="inlineStr">
        <is>
          <t>Notification system mock: which requirements do you clarify?</t>
        </is>
      </c>
      <c r="F890" s="13" t="inlineStr">
        <is>
          <t>Channels (push, SMS, email, in-app), templates with personalisation, user preferences and opt-outs, scheduled sends, and priorities (an OTP is urgent, marketing is not). Also delivery status tracking and rate limits. Non-functional: at-least-once delivery, seconds of latency for transactional messages, high throughput for bulk campaigns, and no spamming users.</t>
        </is>
      </c>
      <c r="G890" s="13" t="inlineStr"/>
    </row>
    <row r="891">
      <c r="A891" s="13" t="n">
        <v>75</v>
      </c>
      <c r="B891" s="24" t="n">
        <v>46367</v>
      </c>
      <c r="C891" s="13" t="inlineStr">
        <is>
          <t>HLD</t>
        </is>
      </c>
      <c r="D891" s="18" t="inlineStr">
        <is>
          <t>Basic</t>
        </is>
      </c>
      <c r="E891" s="13" t="inlineStr">
        <is>
          <t>Draw the high-level architecture of the notification system.</t>
        </is>
      </c>
      <c r="F891" s="13" t="inlineStr">
        <is>
          <t>Producer services call a Notification API (or publish events). The API validates the request, checks user preferences and opt-outs, renders the template and writes to per-channel queues. Channel workers (push, SMS, email) call third-party providers such as FCM or APNs, an SMS gateway, or SendGrid or SES. A status store records each notification's lifecycle, and retries and DLQs handle failures.</t>
        </is>
      </c>
      <c r="G891" s="13" t="inlineStr"/>
    </row>
    <row r="892">
      <c r="A892" s="13" t="n">
        <v>75</v>
      </c>
      <c r="B892" s="24" t="n">
        <v>46367</v>
      </c>
      <c r="C892" s="13" t="inlineStr">
        <is>
          <t>HLD</t>
        </is>
      </c>
      <c r="D892" s="16" t="inlineStr">
        <is>
          <t>Intermediate</t>
        </is>
      </c>
      <c r="E892" s="13" t="inlineStr">
        <is>
          <t>How do you handle priorities and rate limits?</t>
        </is>
      </c>
      <c r="F892" s="13" t="inlineStr">
        <is>
          <t>Use separate queues or topics per priority, with dedicated worker pools, so a marketing blast never delays OTPs. Throttle per user (for example at most N promotional messages a day, and no marketing during quiet hours in the user's timezone). Respect each provider's limits with a token-bucket limiter on the workers, and back off when the provider returns 429.</t>
        </is>
      </c>
      <c r="G892" s="13" t="inlineStr"/>
    </row>
    <row r="893">
      <c r="A893" s="13" t="n">
        <v>75</v>
      </c>
      <c r="B893" s="24" t="n">
        <v>46367</v>
      </c>
      <c r="C893" s="13" t="inlineStr">
        <is>
          <t>HLD</t>
        </is>
      </c>
      <c r="D893" s="16" t="inlineStr">
        <is>
          <t>Intermediate</t>
        </is>
      </c>
      <c r="E893" s="13" t="inlineStr">
        <is>
          <t>How do you avoid sending the same notification twice?</t>
        </is>
      </c>
      <c r="F893" s="13" t="inlineStr">
        <is>
          <t>Give each notification an idempotency key, for example eventId + userId + channel, and claim it before sending with Redis SET NX with a TTL or a unique DB constraint; if the claim fails, skip the send. Queues are at-least-once, so this dedupe is required. A crash between sending and recording can still cause a rare duplicate; that is acceptable for push or email, while OTPs get short expiry and uniqueness checks.</t>
        </is>
      </c>
      <c r="G893" s="13" t="inlineStr"/>
    </row>
    <row r="894">
      <c r="A894" s="13" t="n">
        <v>75</v>
      </c>
      <c r="B894" s="24" t="n">
        <v>46367</v>
      </c>
      <c r="C894" s="13" t="inlineStr">
        <is>
          <t>HLD</t>
        </is>
      </c>
      <c r="D894" s="17" t="inlineStr">
        <is>
          <t>Advanced</t>
        </is>
      </c>
      <c r="E894" s="13" t="inlineStr">
        <is>
          <t>How do you send a campaign to 50M users without hurting transactional traffic?</t>
        </is>
      </c>
      <c r="F894" s="13" t="inlineStr">
        <is>
          <t>A campaign scheduler splits the target segment into batches (for example 10k users each) and enqueues them gradually at a controlled rate that stays within provider limits. Workers expand the batches, apply preferences and send, and progress is checkpointed so a crash resumes instead of restarting. Campaign traffic runs on separate queues, workers and even provider accounts, fully isolated from OTPs and alerts.</t>
        </is>
      </c>
      <c r="G894" s="13" t="inlineStr"/>
    </row>
    <row r="895">
      <c r="A895" s="13" t="n">
        <v>75</v>
      </c>
      <c r="B895" s="24" t="n">
        <v>46367</v>
      </c>
      <c r="C895" s="13" t="inlineStr">
        <is>
          <t>HLD</t>
        </is>
      </c>
      <c r="D895" s="17" t="inlineStr">
        <is>
          <t>Advanced</t>
        </is>
      </c>
      <c r="E895" s="13" t="inlineStr">
        <is>
          <t>How do you make delivery reliable and trackable when a provider fails?</t>
        </is>
      </c>
      <c r="F895" s="13" t="inlineStr">
        <is>
          <t>Configure at least two providers per channel with circuit breakers and automatic failover (for example switch SMS gateways when the error rate crosses a threshold). Retry transient errors with exponential backoff and jitter, and move poison messages to a DLQ. Provider delivery receipts arrive via webhooks and update statuses (Queued, Sent, Delivered, Failed, Opened). Dashboards and alerts track delivery rate and latency per channel and provider.</t>
        </is>
      </c>
      <c r="G895" s="13" t="inlineStr"/>
    </row>
    <row r="896">
      <c r="A896" s="13" t="n">
        <v>75</v>
      </c>
      <c r="B896" s="24" t="n">
        <v>46367</v>
      </c>
      <c r="C896" s="13" t="inlineStr">
        <is>
          <t>LLD</t>
        </is>
      </c>
      <c r="D896" s="18" t="inlineStr">
        <is>
          <t>Basic</t>
        </is>
      </c>
      <c r="E896" s="13" t="inlineStr">
        <is>
          <t>Final Parking Lot mock: walk me through the class relationships in 2 minutes.</t>
        </is>
      </c>
      <c r="F896" s="13" t="inlineStr">
        <is>
          <t>ParkingLot has many Floors, and each Floor has many ParkingSpots (composition, since spots do not exist without a floor). A Ticket references a Vehicle and a ParkingSpot (association) and records entry and exit times. ParkingLot delegates to ISpotAllocationStrategy and IPricingStrategy, and gates call ParkingLot.Park and Unpark. DisplayBoards subscribe to spot changes.</t>
        </is>
      </c>
      <c r="G896" s="13" t="inlineStr"/>
    </row>
    <row r="897">
      <c r="A897" s="13" t="n">
        <v>75</v>
      </c>
      <c r="B897" s="24" t="n">
        <v>46367</v>
      </c>
      <c r="C897" s="13" t="inlineStr">
        <is>
          <t>LLD</t>
        </is>
      </c>
      <c r="D897" s="18" t="inlineStr">
        <is>
          <t>Basic</t>
        </is>
      </c>
      <c r="E897" s="13" t="inlineStr">
        <is>
          <t>Which things are enums and which are classes, and why?</t>
        </is>
      </c>
      <c r="F897" s="13" t="inlineStr">
        <is>
          <t>VehicleType, SpotType and TicketStatus are enums because they are fixed categories with no distinct behaviour. Pricing and allocation are interfaces because their behaviour varies. Create a Vehicle subclass (Car, Bike, Truck) only if types really behave differently; otherwise a single Vehicle class with a Type property avoids pointless inheritance, and interviewers reward that restraint.</t>
        </is>
      </c>
      <c r="G897" s="13" t="inlineStr"/>
    </row>
    <row r="898">
      <c r="A898" s="13" t="n">
        <v>75</v>
      </c>
      <c r="B898" s="24" t="n">
        <v>46367</v>
      </c>
      <c r="C898" s="13" t="inlineStr">
        <is>
          <t>LLD</t>
        </is>
      </c>
      <c r="D898" s="16" t="inlineStr">
        <is>
          <t>Intermediate</t>
        </is>
      </c>
      <c r="E898" s="13" t="inlineStr">
        <is>
          <t>Write the Park and Unpark flow.</t>
        </is>
      </c>
      <c r="F898" s="13" t="inlineStr">
        <is>
          <t>ParkingLot coordinates; allocation, pricing and time are injected.
```csharp
public Ticket Park(Vehicle v) {
    var spot = _allocator.FindSpot(_floors, v.Type) ?? throw new InvalidOperationException("Lot full");
    spot.Assign(v);
    var ticket = new Ticket(Guid.NewGuid(), v, spot, _clock.GetUtcNow());
    _active[ticket.Id] = ticket;
    return ticket;
}
public decimal Unpark(Guid ticketId) {
    if (!_active.Remove(ticketId, out var t)) throw new KeyNotFoundException();
    t.Spot.Release();
    return _pricing.Calculate(t.Spot.Type, t.EntryTime, _clock.GetUtcNow());
}
```</t>
        </is>
      </c>
      <c r="G898" s="13" t="inlineStr"/>
    </row>
    <row r="899">
      <c r="A899" s="13" t="n">
        <v>75</v>
      </c>
      <c r="B899" s="24" t="n">
        <v>46367</v>
      </c>
      <c r="C899" s="13" t="inlineStr">
        <is>
          <t>LLD</t>
        </is>
      </c>
      <c r="D899" s="16" t="inlineStr">
        <is>
          <t>Intermediate</t>
        </is>
      </c>
      <c r="E899" s="13" t="inlineStr">
        <is>
          <t>Should ParkingLot be a Singleton?</t>
        </is>
      </c>
      <c r="F899" s="13" t="inlineStr">
        <is>
          <t>There is only one lot per application instance, so a single instance makes sense. But a static Instance property adds global state and makes tests hard (you cannot build a fresh lot per test). Register it with services.AddSingleton&lt;IParkingLot, ParkingLot&gt;() instead, which gives one instance at runtime and still allows injection and mocking. If multiple lots are supported later, a ParkingLotRegistry keyed by lot ID replaces it.</t>
        </is>
      </c>
      <c r="G899" s="13" t="inlineStr"/>
    </row>
    <row r="900">
      <c r="A900" s="13" t="n">
        <v>75</v>
      </c>
      <c r="B900" s="24" t="n">
        <v>46367</v>
      </c>
      <c r="C900" s="13" t="inlineStr">
        <is>
          <t>LLD</t>
        </is>
      </c>
      <c r="D900" s="17" t="inlineStr">
        <is>
          <t>Advanced</t>
        </is>
      </c>
      <c r="E900" s="13" t="inlineStr">
        <is>
          <t>How do display boards show accurate free-spot counts in real time?</t>
        </is>
      </c>
      <c r="F900" s="13" t="inlineStr">
        <is>
          <t>Use Observer: ParkingSpot or ParkingFloor raises SpotOccupied and SpotReleased events, and each DisplayBoard subscribes and keeps counters per SpotType. Update the counters with Interlocked.Increment and Interlocked.Decrement because events can come from several gates at once. Boards never scan all spots, so updates are O(1), and new consumers such as a mobile app subscribe the same way.</t>
        </is>
      </c>
      <c r="G900" s="13" t="inlineStr"/>
    </row>
    <row r="901">
      <c r="A901" s="13" t="n">
        <v>75</v>
      </c>
      <c r="B901" s="24" t="n">
        <v>46367</v>
      </c>
      <c r="C901" s="13" t="inlineStr">
        <is>
          <t>LLD</t>
        </is>
      </c>
      <c r="D901" s="17" t="inlineStr">
        <is>
          <t>Advanced</t>
        </is>
      </c>
      <c r="E901" s="13" t="inlineStr">
        <is>
          <t>Follow-ups: lost ticket, overstay, and payment failure at exit. How does your design handle them?</t>
        </is>
      </c>
      <c r="F901" s="13" t="inlineStr">
        <is>
          <t>Give the ticket a lifecycle: Active, then PaymentPending, Paid and Exited, and the exit gate opens only when the ticket is Paid. Lost ticket: look up the active ticket by licence plate, or charge the maximum daily fee through a LostTicket pricing rule. Overstay: pricing slabs handle long durations, with an optional per-day cap. Payment failure: the ticket stays PaymentPending, the user can retry or switch method (the payment strategy), and the spot stays occupied until the ticket reaches Exited.</t>
        </is>
      </c>
      <c r="G901" s="13" t="inlineStr"/>
    </row>
  </sheetData>
  <autoFilter ref="A1:G901"/>
  <dataValidations count="1">
    <dataValidation sqref="G2:G901"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2"/>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8" customWidth="1" min="3" max="3"/>
    <col width="52" customWidth="1" min="4" max="4"/>
  </cols>
  <sheetData>
    <row r="1" ht="30" customHeight="1">
      <c r="A1" s="8" t="inlineStr">
        <is>
          <t>When</t>
        </is>
      </c>
      <c r="B1" s="8" t="inlineStr">
        <is>
          <t>Time</t>
        </is>
      </c>
      <c r="C1" s="8" t="inlineStr">
        <is>
          <t>What</t>
        </is>
      </c>
      <c r="D1" s="8" t="inlineStr">
        <is>
          <t>Notes</t>
        </is>
      </c>
    </row>
    <row r="2">
      <c r="A2" t="inlineStr">
        <is>
          <t>Mon–Fri</t>
        </is>
      </c>
      <c r="B2" t="inlineStr">
        <is>
          <t>7:00</t>
        </is>
      </c>
      <c r="C2" t="inlineStr">
        <is>
          <t>Wake, 500 ml water</t>
        </is>
      </c>
      <c r="D2" t="inlineStr">
        <is>
          <t>Start the water count before the phone</t>
        </is>
      </c>
    </row>
    <row r="3">
      <c r="A3" t="inlineStr">
        <is>
          <t>Mon–Fri</t>
        </is>
      </c>
      <c r="B3" t="inlineStr">
        <is>
          <t>7:15</t>
        </is>
      </c>
      <c r="C3" t="inlineStr">
        <is>
          <t>Walk 1 km+ or 30 min workout</t>
        </is>
      </c>
      <c r="D3" t="inlineStr">
        <is>
          <t>Outdoors if you can</t>
        </is>
      </c>
    </row>
    <row r="4">
      <c r="A4" t="inlineStr">
        <is>
          <t>Mon–Fri</t>
        </is>
      </c>
      <c r="B4" t="inlineStr">
        <is>
          <t>7:50</t>
        </is>
      </c>
      <c r="C4" t="inlineStr">
        <is>
          <t>LeetCode #1 and #2 (Medium)</t>
        </is>
      </c>
      <c r="D4" t="inlineStr">
        <is>
          <t>30 min max each; if stuck read the solution and mark ↻</t>
        </is>
      </c>
    </row>
    <row r="5">
      <c r="A5" t="inlineStr">
        <is>
          <t>Mon–Fri</t>
        </is>
      </c>
      <c r="B5" t="inlineStr">
        <is>
          <t>9:00</t>
        </is>
      </c>
      <c r="C5" t="inlineStr">
        <is>
          <t>Breakfast, get ready</t>
        </is>
      </c>
      <c r="D5" t="inlineStr">
        <is>
          <t>Fill a 1 L bottle for the desk</t>
        </is>
      </c>
    </row>
    <row r="6">
      <c r="A6" t="inlineStr">
        <is>
          <t>Mon–Fri</t>
        </is>
      </c>
      <c r="B6" t="inlineStr">
        <is>
          <t>10:00</t>
        </is>
      </c>
      <c r="C6" t="inlineStr">
        <is>
          <t>Office</t>
        </is>
      </c>
      <c r="D6" t="inlineStr">
        <is>
          <t>First litre done by lunch</t>
        </is>
      </c>
    </row>
    <row r="7">
      <c r="A7" t="inlineStr">
        <is>
          <t>Mon–Fri</t>
        </is>
      </c>
      <c r="B7" t="inlineStr">
        <is>
          <t>Lunch</t>
        </is>
      </c>
      <c r="C7" t="inlineStr">
        <is>
          <t>HLD read 25 min + SQL question 15 min</t>
        </is>
      </c>
      <c r="D7" t="inlineStr">
        <is>
          <t>The day's office topic; the SQL runs in the browser</t>
        </is>
      </c>
    </row>
    <row r="8">
      <c r="A8" t="inlineStr">
        <is>
          <t>Mon–Fri</t>
        </is>
      </c>
      <c r="B8" t="inlineStr">
        <is>
          <t>7:00 pm</t>
        </is>
      </c>
      <c r="C8" t="inlineStr">
        <is>
          <t>Home, shower, dinner</t>
        </is>
      </c>
      <c r="D8" t="inlineStr">
        <is>
          <t>Second litre done by now</t>
        </is>
      </c>
    </row>
    <row r="9">
      <c r="A9" t="inlineStr">
        <is>
          <t>Mon–Fri</t>
        </is>
      </c>
      <c r="B9" t="inlineStr">
        <is>
          <t>8:00 pm</t>
        </is>
      </c>
      <c r="C9" t="inlineStr">
        <is>
          <t>Free time</t>
        </is>
      </c>
      <c r="D9" t="inlineStr">
        <is>
          <t>Guilt-free, at least 1 hour</t>
        </is>
      </c>
    </row>
    <row r="10">
      <c r="A10" t="inlineStr">
        <is>
          <t>Mon–Fri</t>
        </is>
      </c>
      <c r="B10" t="inlineStr">
        <is>
          <t>9:00 pm</t>
        </is>
      </c>
      <c r="C10" t="inlineStr">
        <is>
          <t>LLD 30 min, then the design question 20 min</t>
        </is>
      </c>
      <c r="D10" t="inlineStr">
        <is>
          <t>Both in C#, same topic as the HLD read</t>
        </is>
      </c>
    </row>
    <row r="11">
      <c r="A11" t="inlineStr">
        <is>
          <t>Mon–Fri</t>
        </is>
      </c>
      <c r="B11" t="inlineStr">
        <is>
          <t>9:50 pm</t>
        </is>
      </c>
      <c r="C11" t="inlineStr">
        <is>
          <t>Cloud lab 25 min</t>
        </is>
      </c>
      <c r="D11" t="inlineStr">
        <is>
          <t>Delete what you create</t>
        </is>
      </c>
    </row>
    <row r="12">
      <c r="A12" t="inlineStr">
        <is>
          <t>Mon–Fri</t>
        </is>
      </c>
      <c r="B12" t="inlineStr">
        <is>
          <t>10:15 pm</t>
        </is>
      </c>
      <c r="C12" t="inlineStr">
        <is>
          <t>LeetCode #3 (Hard)</t>
        </is>
      </c>
      <c r="D12" t="inlineStr">
        <is>
          <t>45 min max; the approach matters more than finishing</t>
        </is>
      </c>
    </row>
    <row r="13">
      <c r="A13" t="inlineStr">
        <is>
          <t>Mon–Fri</t>
        </is>
      </c>
      <c r="B13" t="inlineStr">
        <is>
          <t>11:15 pm</t>
        </is>
      </c>
      <c r="C13" t="inlineStr">
        <is>
          <t>Wind down, sleep by 11:30</t>
        </is>
      </c>
      <c r="D13" t="inlineStr">
        <is>
          <t>Protect ~7 hours</t>
        </is>
      </c>
    </row>
    <row r="14">
      <c r="A14" t="inlineStr">
        <is>
          <t>Saturday</t>
        </is>
      </c>
      <c r="B14" t="inlineStr">
        <is>
          <t>Morning</t>
        </is>
      </c>
      <c r="C14" t="inlineStr">
        <is>
          <t>Longer walk or workout + 3 LeetCode</t>
        </is>
      </c>
      <c r="D14" t="inlineStr">
        <is>
          <t>The Hard first</t>
        </is>
      </c>
    </row>
    <row r="15">
      <c r="A15" t="inlineStr">
        <is>
          <t>Saturday</t>
        </is>
      </c>
      <c r="B15" t="inlineStr">
        <is>
          <t>Midday</t>
        </is>
      </c>
      <c r="C15" t="inlineStr">
        <is>
          <t>2-hour build block + the design question</t>
        </is>
      </c>
      <c r="D15" t="inlineStr">
        <is>
          <t>Tie the week's HLD, LLD and cloud into one small project</t>
        </is>
      </c>
    </row>
    <row r="16">
      <c r="A16" t="inlineStr">
        <is>
          <t>Saturday</t>
        </is>
      </c>
      <c r="B16" t="inlineStr">
        <is>
          <t>Afternoon</t>
        </is>
      </c>
      <c r="C16" t="inlineStr">
        <is>
          <t>SQL question, clean up cloud resources</t>
        </is>
      </c>
      <c r="D16" t="inlineStr">
        <is>
          <t>Check the billing alarm</t>
        </is>
      </c>
    </row>
    <row r="17">
      <c r="A17" t="inlineStr">
        <is>
          <t>Saturday</t>
        </is>
      </c>
      <c r="B17" t="inlineStr">
        <is>
          <t>Rest</t>
        </is>
      </c>
      <c r="C17" t="inlineStr">
        <is>
          <t>Free</t>
        </is>
      </c>
      <c r="D17" t="inlineStr"/>
    </row>
    <row r="18">
      <c r="A18" t="inlineStr">
        <is>
          <t>Sunday</t>
        </is>
      </c>
      <c r="B18" t="inlineStr">
        <is>
          <t>Morning</t>
        </is>
      </c>
      <c r="C18" t="inlineStr">
        <is>
          <t>Easy 1 km walk + 3 LeetCode</t>
        </is>
      </c>
      <c r="D18" t="inlineStr">
        <is>
          <t>Re-solve every ↻ revisit from the week first</t>
        </is>
      </c>
    </row>
    <row r="19">
      <c r="A19" t="inlineStr">
        <is>
          <t>Sunday</t>
        </is>
      </c>
      <c r="B19" t="inlineStr">
        <is>
          <t>Midday</t>
        </is>
      </c>
      <c r="C19" t="inlineStr">
        <is>
          <t>45 min: revise the week on one page + the week's Q&amp;A</t>
        </is>
      </c>
      <c r="D19" t="inlineStr">
        <is>
          <t>Say each topic out loud in 2 sentences</t>
        </is>
      </c>
    </row>
    <row r="20">
      <c r="A20" t="inlineStr">
        <is>
          <t>Sunday</t>
        </is>
      </c>
      <c r="B20" t="inlineStr">
        <is>
          <t>Afternoon</t>
        </is>
      </c>
      <c r="C20" t="inlineStr">
        <is>
          <t>Re-solve 1 SQL and 1 design question from the week</t>
        </is>
      </c>
      <c r="D20" t="inlineStr">
        <is>
          <t>The ones you found hardest</t>
        </is>
      </c>
    </row>
    <row r="21">
      <c r="A21" t="inlineStr">
        <is>
          <t>Sunday</t>
        </is>
      </c>
      <c r="B21" t="inlineStr">
        <is>
          <t>Evening</t>
        </is>
      </c>
      <c r="C21" t="inlineStr">
        <is>
          <t>Meal prep for the week</t>
        </is>
      </c>
      <c r="D21" t="inlineStr">
        <is>
          <t>Plan Monday's first problem</t>
        </is>
      </c>
    </row>
    <row r="23">
      <c r="A23" s="25" t="inlineStr">
        <is>
          <t>Rules</t>
        </is>
      </c>
    </row>
    <row r="24">
      <c r="A24" t="inlineStr"/>
      <c r="B24" t="inlineStr"/>
      <c r="C24" s="26" t="inlineStr">
        <is>
          <t>3 LeetCode a day - 2 Medium in the morning, 1 Hard at night. 30 minutes max per Medium, 45 for the Hard; if stuck, read the solution, mark it ↻ revisit and re-solve it on Sunday.</t>
        </is>
      </c>
    </row>
    <row r="25">
      <c r="A25" t="inlineStr"/>
      <c r="B25" t="inlineStr"/>
      <c r="C25" s="26" t="inlineStr">
        <is>
          <t>1 SQL question at lunch and 1 design coding question at night, both Easy or Medium - speed and clean code, not tricks. The design question is on the day's HLD/LLD topic.</t>
        </is>
      </c>
    </row>
    <row r="26">
      <c r="A26" t="inlineStr"/>
      <c r="B26" t="inlineStr"/>
      <c r="C26" s="26" t="inlineStr">
        <is>
          <t>Read the day's HLD and LLD Q&amp;A before you sleep: say each Basic answer out loud, and try the Advanced ones before opening them.</t>
        </is>
      </c>
    </row>
    <row r="27">
      <c r="A27" t="inlineStr"/>
      <c r="B27" t="inlineStr"/>
      <c r="C27" s="26" t="inlineStr">
        <is>
          <t>Floor vs full: on a drained day switch to Easy day - the 2 Mediums + SQL + the HLD read + 1 km walk + water + clean food still counts.</t>
        </is>
      </c>
    </row>
    <row r="28">
      <c r="A28" t="inlineStr"/>
      <c r="B28" t="inlineStr"/>
      <c r="C28" s="26" t="inlineStr">
        <is>
          <t>One theme a day: the HLD read, the LLD code, the design question and the cloud lab explain the same idea from four angles.</t>
        </is>
      </c>
    </row>
    <row r="29">
      <c r="A29" t="inlineStr"/>
      <c r="B29" t="inlineStr"/>
      <c r="C29" s="26" t="inlineStr">
        <is>
          <t>One cloud at a time: AWS for days 1–50, Azure for 51–75, each mapped to the AWS service you already know. Always delete lab resources.</t>
        </is>
      </c>
    </row>
    <row r="30">
      <c r="A30" t="inlineStr"/>
      <c r="B30" t="inlineStr"/>
      <c r="C30" s="26" t="inlineStr">
        <is>
          <t>Never double up to catch up: missed tasks go to the catch-up list and get done on Saturday or Sunday.</t>
        </is>
      </c>
    </row>
    <row r="31">
      <c r="A31" t="inlineStr"/>
      <c r="B31" t="inlineStr"/>
      <c r="C31" s="26" t="inlineStr">
        <is>
          <t>Checkpoints on days 25, 50 and 75 have pass criteria - if one fails, repeat its weak topic before moving on.</t>
        </is>
      </c>
    </row>
    <row r="32">
      <c r="A32" t="inlineStr">
        <is>
          <t>Easy day</t>
        </is>
      </c>
      <c r="B32" t="inlineStr"/>
      <c r="C32" t="inlineStr">
        <is>
          <t>LeetCode #1 and #2 (the two Mediums)  ·  SQL question  ·  HLD read  ·  Walk 1 km  ·  Water 2.5 L  ·  Clean food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2026-09-25T14:56:27Z</dcterms:created>
  <dcterms:modified xmlns:dcterms="http://purl.org/dc/terms/" xmlns:xsi="http://www.w3.org/2001/XMLSchema-instance" xsi:type="dcterms:W3CDTF">2026-09-25T14:56:27Z</dcterms:modified>
</cp:coreProperties>
</file>